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rc\scouts\merit-bagdges\personal-management\templates\"/>
    </mc:Choice>
  </mc:AlternateContent>
  <xr:revisionPtr revIDLastSave="0" documentId="13_ncr:1_{9E0C7F6E-7E87-4AD5-8DFD-BB2D48F94B2F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Instructions" sheetId="1" r:id="rId1"/>
    <sheet name="Timeline" sheetId="2" r:id="rId2"/>
    <sheet name="Budget Plan" sheetId="3" r:id="rId3"/>
    <sheet name="Transaction Log" sheetId="4" r:id="rId4"/>
    <sheet name="Weekly Summary" sheetId="5" r:id="rId5"/>
    <sheet name="Major Purchase Plan" sheetId="6" r:id="rId6"/>
    <sheet name="Final Reflec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F16" i="5"/>
  <c r="C16" i="5"/>
  <c r="F15" i="5"/>
  <c r="C15" i="5"/>
  <c r="F14" i="5"/>
  <c r="C14" i="5"/>
  <c r="F13" i="5"/>
  <c r="C13" i="5"/>
  <c r="F12" i="5"/>
  <c r="C12" i="5"/>
  <c r="F11" i="5"/>
  <c r="C11" i="5"/>
  <c r="F10" i="5"/>
  <c r="C10" i="5"/>
  <c r="F9" i="5"/>
  <c r="C9" i="5"/>
  <c r="F8" i="5"/>
  <c r="C8" i="5"/>
  <c r="B8" i="5"/>
  <c r="F7" i="5"/>
  <c r="E7" i="5"/>
  <c r="C7" i="5"/>
  <c r="B7" i="5"/>
  <c r="F6" i="5"/>
  <c r="G6" i="5" s="1"/>
  <c r="E6" i="5"/>
  <c r="C6" i="5"/>
  <c r="F5" i="5"/>
  <c r="C5" i="5"/>
  <c r="F4" i="5"/>
  <c r="C4" i="5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E14" i="3"/>
  <c r="E13" i="3"/>
  <c r="E12" i="3"/>
  <c r="E11" i="3"/>
  <c r="E10" i="3"/>
  <c r="E9" i="3"/>
  <c r="E8" i="3"/>
  <c r="E7" i="3"/>
  <c r="E6" i="3"/>
  <c r="E5" i="3"/>
  <c r="E4" i="3"/>
  <c r="B13" i="5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6" i="2"/>
  <c r="G7" i="5" l="1"/>
  <c r="E12" i="5"/>
  <c r="G12" i="5" s="1"/>
  <c r="E8" i="5"/>
  <c r="G8" i="5" s="1"/>
  <c r="H16" i="5"/>
  <c r="H15" i="5"/>
  <c r="H14" i="5"/>
  <c r="D13" i="5"/>
  <c r="H13" i="5"/>
  <c r="H12" i="5"/>
  <c r="H11" i="5"/>
  <c r="H10" i="5"/>
  <c r="H9" i="5"/>
  <c r="D8" i="5"/>
  <c r="H8" i="5"/>
  <c r="H7" i="5"/>
  <c r="D7" i="5"/>
  <c r="H6" i="5"/>
  <c r="H5" i="5"/>
  <c r="F18" i="5"/>
  <c r="H4" i="5"/>
  <c r="C18" i="5"/>
  <c r="E9" i="5"/>
  <c r="G9" i="5" s="1"/>
  <c r="E10" i="5"/>
  <c r="G10" i="5" s="1"/>
  <c r="E16" i="5"/>
  <c r="G16" i="5" s="1"/>
  <c r="E14" i="5"/>
  <c r="G14" i="5" s="1"/>
  <c r="E11" i="5"/>
  <c r="G11" i="5" s="1"/>
  <c r="E4" i="5"/>
  <c r="G4" i="5" s="1"/>
  <c r="E13" i="5"/>
  <c r="G13" i="5" s="1"/>
  <c r="E15" i="5"/>
  <c r="G15" i="5" s="1"/>
  <c r="E5" i="5"/>
  <c r="G5" i="5" s="1"/>
  <c r="B9" i="5"/>
  <c r="D9" i="5" s="1"/>
  <c r="B11" i="5"/>
  <c r="D11" i="5" s="1"/>
  <c r="B12" i="5"/>
  <c r="D12" i="5" s="1"/>
  <c r="B14" i="5"/>
  <c r="D14" i="5" s="1"/>
  <c r="B6" i="5"/>
  <c r="D6" i="5" s="1"/>
  <c r="B15" i="5"/>
  <c r="D15" i="5" s="1"/>
  <c r="B5" i="5"/>
  <c r="D5" i="5" s="1"/>
  <c r="B4" i="5"/>
  <c r="D4" i="5" s="1"/>
  <c r="B10" i="5"/>
  <c r="D10" i="5" s="1"/>
  <c r="B16" i="5"/>
  <c r="D16" i="5" s="1"/>
  <c r="G18" i="5" l="1"/>
  <c r="H18" i="5"/>
  <c r="E18" i="5"/>
  <c r="B18" i="5"/>
  <c r="D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the first day of the 13-week tracking period.</t>
        </r>
      </text>
    </comment>
  </commentList>
</comments>
</file>

<file path=xl/sharedStrings.xml><?xml version="1.0" encoding="utf-8"?>
<sst xmlns="http://schemas.openxmlformats.org/spreadsheetml/2006/main" count="95" uniqueCount="80">
  <si>
    <t>Personal Management 13-Week Tracking Workbook</t>
  </si>
  <si>
    <t>Purpose</t>
  </si>
  <si>
    <t>Use this workbook to plan a budget, track real income and expenses for 13 consecutive weeks, compare budget vs. actual, and prepare for your final counselor discussion.</t>
  </si>
  <si>
    <t>Official requirements</t>
  </si>
  <si>
    <t>Use the current official merit badge pamphlet and official requirements as the source of truth. This workbook supports the process but does not replace the requirements.</t>
  </si>
  <si>
    <t>How to use</t>
  </si>
  <si>
    <t>1) Fill in the Timeline sheet. 2) Draft a weekly budget on Budget Plan. 3) Enter each real transaction on Transaction Log. 4) Review Weekly Summary. 5) Complete Major Purchase Plan and Final Reflection.</t>
  </si>
  <si>
    <t>Counselor expectation</t>
  </si>
  <si>
    <t>Track real money as it happens. Do not backfill the full 13 weeks from memory.</t>
  </si>
  <si>
    <t>Scout and Timeline</t>
  </si>
  <si>
    <t>Scout name</t>
  </si>
  <si>
    <t>Kickoff date</t>
  </si>
  <si>
    <t>13-week start date</t>
  </si>
  <si>
    <t>Target final review date</t>
  </si>
  <si>
    <t>Counselor</t>
  </si>
  <si>
    <t>Tracking method</t>
  </si>
  <si>
    <t>Spreadsheet / app / notebook</t>
  </si>
  <si>
    <t>Week</t>
  </si>
  <si>
    <t>Start Date</t>
  </si>
  <si>
    <t>End Date</t>
  </si>
  <si>
    <t>Weekly Budget Plan</t>
  </si>
  <si>
    <t>Type</t>
  </si>
  <si>
    <t>Category</t>
  </si>
  <si>
    <t>Weekly Planned Amount</t>
  </si>
  <si>
    <t>Notes</t>
  </si>
  <si>
    <t>13-Week Planned Total</t>
  </si>
  <si>
    <t>Income</t>
  </si>
  <si>
    <t>Allowance</t>
  </si>
  <si>
    <t>Job/Gig</t>
  </si>
  <si>
    <t>Gifts</t>
  </si>
  <si>
    <t>Other Income</t>
  </si>
  <si>
    <t>Expense</t>
  </si>
  <si>
    <t>Food/Snacks</t>
  </si>
  <si>
    <t>Entertainment</t>
  </si>
  <si>
    <t>Gear/Clothing</t>
  </si>
  <si>
    <t>Transportation</t>
  </si>
  <si>
    <t>Giving</t>
  </si>
  <si>
    <t>Savings</t>
  </si>
  <si>
    <t>Other Expense</t>
  </si>
  <si>
    <t>Transaction Log</t>
  </si>
  <si>
    <t>Date</t>
  </si>
  <si>
    <t>Week #</t>
  </si>
  <si>
    <t>Description</t>
  </si>
  <si>
    <t>Amount</t>
  </si>
  <si>
    <t>Payment Method</t>
  </si>
  <si>
    <t>Need/Want</t>
  </si>
  <si>
    <t>Budget vs. Actual Weekly Summary</t>
  </si>
  <si>
    <t>Planned Income</t>
  </si>
  <si>
    <t>Actual Income</t>
  </si>
  <si>
    <t>Income Variance</t>
  </si>
  <si>
    <t>Planned Expenses</t>
  </si>
  <si>
    <t>Actual Expenses</t>
  </si>
  <si>
    <t>Expense Variance</t>
  </si>
  <si>
    <t>Actual Net</t>
  </si>
  <si>
    <t>13-Week Total</t>
  </si>
  <si>
    <t>Major Purchase and Savings Plan</t>
  </si>
  <si>
    <t>Item or goal</t>
  </si>
  <si>
    <t>Why it matters</t>
  </si>
  <si>
    <t>Target purchase date</t>
  </si>
  <si>
    <t>Chosen option cost</t>
  </si>
  <si>
    <t>Money already saved</t>
  </si>
  <si>
    <t>Weekly savings target</t>
  </si>
  <si>
    <t>Weeks needed</t>
  </si>
  <si>
    <t>Tradeoffs I will make</t>
  </si>
  <si>
    <t>Option</t>
  </si>
  <si>
    <t>Vendor/Source</t>
  </si>
  <si>
    <t>Price</t>
  </si>
  <si>
    <t>Pros</t>
  </si>
  <si>
    <t>Cons</t>
  </si>
  <si>
    <t>Decision Notes</t>
  </si>
  <si>
    <t>Final Reflection and Counselor Discussion Prep</t>
  </si>
  <si>
    <t>Prompt</t>
  </si>
  <si>
    <t>Scout notes</t>
  </si>
  <si>
    <t>Where did your original budget plan break or change?</t>
  </si>
  <si>
    <t>Which spending category surprised you most?</t>
  </si>
  <si>
    <t>What would you change if you restarted the 13-week period?</t>
  </si>
  <si>
    <t>What did you learn about saving for a major purchase?</t>
  </si>
  <si>
    <t>How did tracking affect your choices?</t>
  </si>
  <si>
    <t>What money-management habit do you want to keep?</t>
  </si>
  <si>
    <t>What questions do you still have for your counselor?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</si>
</sst>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-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b/>
      <sz val="11"/>
      <name val="Arial"/>
    </font>
    <font>
      <b/>
      <sz val="14"/>
      <color rgb="FF1F4E78"/>
      <name val="Arial"/>
    </font>
    <font>
      <sz val="11"/>
      <color rgb="FF0000FF"/>
      <name val="Arial"/>
    </font>
    <font>
      <sz val="11"/>
      <color rgb="FF00000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14" fontId="0" fillId="0" borderId="1" xfId="0" applyNumberFormat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4" customWidth="1"/>
    <col min="2" max="2" width="110" customWidth="1"/>
  </cols>
  <sheetData>
    <row r="1" spans="1:2" ht="80" x14ac:dyDescent="0.35">
      <c r="A1" s="1" t="s">
        <v>0</v>
      </c>
      <c r="B1" s="2"/>
    </row>
    <row r="2" spans="1:2" x14ac:dyDescent="0.35">
      <c r="A2" s="2"/>
      <c r="B2" s="2"/>
    </row>
    <row r="3" spans="1:2" ht="29" x14ac:dyDescent="0.35">
      <c r="A3" s="3" t="s">
        <v>1</v>
      </c>
      <c r="B3" s="2" t="s">
        <v>2</v>
      </c>
    </row>
    <row r="4" spans="1:2" ht="29" x14ac:dyDescent="0.35">
      <c r="A4" s="3" t="s">
        <v>3</v>
      </c>
      <c r="B4" s="2" t="s">
        <v>4</v>
      </c>
    </row>
    <row r="5" spans="1:2" ht="29" x14ac:dyDescent="0.35">
      <c r="A5" s="3" t="s">
        <v>5</v>
      </c>
      <c r="B5" s="2" t="s">
        <v>6</v>
      </c>
    </row>
    <row r="6" spans="1:2" x14ac:dyDescent="0.35">
      <c r="A6" s="3" t="s">
        <v>7</v>
      </c>
      <c r="B6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3" width="18" customWidth="1"/>
  </cols>
  <sheetData>
    <row r="1" spans="1:3" ht="36" x14ac:dyDescent="0.35">
      <c r="A1" s="4" t="s">
        <v>9</v>
      </c>
      <c r="B1" s="2"/>
      <c r="C1" s="2"/>
    </row>
    <row r="2" spans="1:3" x14ac:dyDescent="0.35">
      <c r="A2" s="2"/>
      <c r="B2" s="2"/>
      <c r="C2" s="2"/>
    </row>
    <row r="3" spans="1:3" x14ac:dyDescent="0.35">
      <c r="A3" s="3" t="s">
        <v>10</v>
      </c>
      <c r="B3" s="5"/>
      <c r="C3" s="2"/>
    </row>
    <row r="4" spans="1:3" x14ac:dyDescent="0.35">
      <c r="A4" s="3" t="s">
        <v>11</v>
      </c>
      <c r="B4" s="5"/>
      <c r="C4" s="2"/>
    </row>
    <row r="5" spans="1:3" ht="28" x14ac:dyDescent="0.35">
      <c r="A5" s="3" t="s">
        <v>12</v>
      </c>
      <c r="B5" s="5"/>
      <c r="C5" s="2"/>
    </row>
    <row r="6" spans="1:3" ht="28" x14ac:dyDescent="0.35">
      <c r="A6" s="3" t="s">
        <v>13</v>
      </c>
      <c r="B6" s="6" t="str">
        <f>IF(B4="","",B4+91)</f>
        <v/>
      </c>
      <c r="C6" s="2"/>
    </row>
    <row r="7" spans="1:3" x14ac:dyDescent="0.35">
      <c r="A7" s="3" t="s">
        <v>14</v>
      </c>
      <c r="B7" s="5"/>
      <c r="C7" s="2"/>
    </row>
    <row r="8" spans="1:3" ht="28" x14ac:dyDescent="0.35">
      <c r="A8" s="3" t="s">
        <v>15</v>
      </c>
      <c r="B8" s="5" t="s">
        <v>16</v>
      </c>
      <c r="C8" s="2"/>
    </row>
    <row r="9" spans="1:3" x14ac:dyDescent="0.35">
      <c r="A9" s="2"/>
      <c r="B9" s="2"/>
      <c r="C9" s="2"/>
    </row>
    <row r="10" spans="1:3" x14ac:dyDescent="0.35">
      <c r="A10" s="7" t="s">
        <v>17</v>
      </c>
      <c r="B10" s="7" t="s">
        <v>18</v>
      </c>
      <c r="C10" s="7" t="s">
        <v>19</v>
      </c>
    </row>
    <row r="11" spans="1:3" x14ac:dyDescent="0.35">
      <c r="A11" s="2">
        <v>1</v>
      </c>
      <c r="B11" s="8" t="str">
        <f>IF($B$4="","",$B$4+((1-1)*7))</f>
        <v/>
      </c>
      <c r="C11" s="8" t="str">
        <f t="shared" ref="C11:C23" si="0">IF(B11="","",B11+6)</f>
        <v/>
      </c>
    </row>
    <row r="12" spans="1:3" x14ac:dyDescent="0.35">
      <c r="A12" s="2">
        <v>2</v>
      </c>
      <c r="B12" s="8" t="str">
        <f>IF($B$4="","",$B$4+((2-1)*7))</f>
        <v/>
      </c>
      <c r="C12" s="8" t="str">
        <f t="shared" si="0"/>
        <v/>
      </c>
    </row>
    <row r="13" spans="1:3" x14ac:dyDescent="0.35">
      <c r="A13" s="2">
        <v>3</v>
      </c>
      <c r="B13" s="8" t="str">
        <f>IF($B$4="","",$B$4+((3-1)*7))</f>
        <v/>
      </c>
      <c r="C13" s="8" t="str">
        <f t="shared" si="0"/>
        <v/>
      </c>
    </row>
    <row r="14" spans="1:3" x14ac:dyDescent="0.35">
      <c r="A14" s="2">
        <v>4</v>
      </c>
      <c r="B14" s="8" t="str">
        <f>IF($B$4="","",$B$4+((4-1)*7))</f>
        <v/>
      </c>
      <c r="C14" s="8" t="str">
        <f t="shared" si="0"/>
        <v/>
      </c>
    </row>
    <row r="15" spans="1:3" x14ac:dyDescent="0.35">
      <c r="A15" s="2">
        <v>5</v>
      </c>
      <c r="B15" s="8" t="str">
        <f>IF($B$4="","",$B$4+((5-1)*7))</f>
        <v/>
      </c>
      <c r="C15" s="8" t="str">
        <f t="shared" si="0"/>
        <v/>
      </c>
    </row>
    <row r="16" spans="1:3" x14ac:dyDescent="0.35">
      <c r="A16" s="2">
        <v>6</v>
      </c>
      <c r="B16" s="8" t="str">
        <f>IF($B$4="","",$B$4+((6-1)*7))</f>
        <v/>
      </c>
      <c r="C16" s="8" t="str">
        <f t="shared" si="0"/>
        <v/>
      </c>
    </row>
    <row r="17" spans="1:3" x14ac:dyDescent="0.35">
      <c r="A17" s="2">
        <v>7</v>
      </c>
      <c r="B17" s="8" t="str">
        <f>IF($B$4="","",$B$4+((7-1)*7))</f>
        <v/>
      </c>
      <c r="C17" s="8" t="str">
        <f t="shared" si="0"/>
        <v/>
      </c>
    </row>
    <row r="18" spans="1:3" x14ac:dyDescent="0.35">
      <c r="A18" s="2">
        <v>8</v>
      </c>
      <c r="B18" s="8" t="str">
        <f>IF($B$4="","",$B$4+((8-1)*7))</f>
        <v/>
      </c>
      <c r="C18" s="8" t="str">
        <f t="shared" si="0"/>
        <v/>
      </c>
    </row>
    <row r="19" spans="1:3" x14ac:dyDescent="0.35">
      <c r="A19" s="2">
        <v>9</v>
      </c>
      <c r="B19" s="8" t="str">
        <f>IF($B$4="","",$B$4+((9-1)*7))</f>
        <v/>
      </c>
      <c r="C19" s="8" t="str">
        <f t="shared" si="0"/>
        <v/>
      </c>
    </row>
    <row r="20" spans="1:3" x14ac:dyDescent="0.35">
      <c r="A20" s="2">
        <v>10</v>
      </c>
      <c r="B20" s="8" t="str">
        <f>IF($B$4="","",$B$4+((10-1)*7))</f>
        <v/>
      </c>
      <c r="C20" s="8" t="str">
        <f t="shared" si="0"/>
        <v/>
      </c>
    </row>
    <row r="21" spans="1:3" x14ac:dyDescent="0.35">
      <c r="A21" s="2">
        <v>11</v>
      </c>
      <c r="B21" s="8" t="str">
        <f>IF($B$4="","",$B$4+((11-1)*7))</f>
        <v/>
      </c>
      <c r="C21" s="8" t="str">
        <f t="shared" si="0"/>
        <v/>
      </c>
    </row>
    <row r="22" spans="1:3" x14ac:dyDescent="0.35">
      <c r="A22" s="2">
        <v>12</v>
      </c>
      <c r="B22" s="8" t="str">
        <f>IF($B$4="","",$B$4+((12-1)*7))</f>
        <v/>
      </c>
      <c r="C22" s="8" t="str">
        <f t="shared" si="0"/>
        <v/>
      </c>
    </row>
    <row r="23" spans="1:3" x14ac:dyDescent="0.35">
      <c r="A23" s="2">
        <v>13</v>
      </c>
      <c r="B23" s="8" t="str">
        <f>IF($B$4="","",$B$4+((13-1)*7))</f>
        <v/>
      </c>
      <c r="C23" s="8" t="str">
        <f t="shared" si="0"/>
        <v/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6" customWidth="1"/>
    <col min="2" max="3" width="24" customWidth="1"/>
    <col min="4" max="4" width="42" customWidth="1"/>
    <col min="5" max="5" width="24" customWidth="1"/>
  </cols>
  <sheetData>
    <row r="1" spans="1:5" ht="36" x14ac:dyDescent="0.35">
      <c r="A1" s="4" t="s">
        <v>20</v>
      </c>
      <c r="B1" s="2"/>
      <c r="C1" s="2"/>
      <c r="D1" s="2"/>
      <c r="E1" s="2"/>
    </row>
    <row r="2" spans="1:5" x14ac:dyDescent="0.35">
      <c r="A2" s="2"/>
      <c r="B2" s="2"/>
      <c r="C2" s="2"/>
      <c r="D2" s="2"/>
      <c r="E2" s="2"/>
    </row>
    <row r="3" spans="1:5" x14ac:dyDescent="0.35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</row>
    <row r="4" spans="1:5" x14ac:dyDescent="0.35">
      <c r="A4" s="2" t="s">
        <v>26</v>
      </c>
      <c r="B4" s="2" t="s">
        <v>27</v>
      </c>
      <c r="C4" s="9">
        <v>0</v>
      </c>
      <c r="D4" s="5"/>
      <c r="E4" s="10">
        <f t="shared" ref="E4:E14" si="0">C4*13</f>
        <v>0</v>
      </c>
    </row>
    <row r="5" spans="1:5" x14ac:dyDescent="0.35">
      <c r="A5" s="2" t="s">
        <v>26</v>
      </c>
      <c r="B5" s="2" t="s">
        <v>28</v>
      </c>
      <c r="C5" s="9">
        <v>0</v>
      </c>
      <c r="D5" s="5"/>
      <c r="E5" s="10">
        <f t="shared" si="0"/>
        <v>0</v>
      </c>
    </row>
    <row r="6" spans="1:5" x14ac:dyDescent="0.35">
      <c r="A6" s="2" t="s">
        <v>26</v>
      </c>
      <c r="B6" s="2" t="s">
        <v>29</v>
      </c>
      <c r="C6" s="9">
        <v>0</v>
      </c>
      <c r="D6" s="5"/>
      <c r="E6" s="10">
        <f t="shared" si="0"/>
        <v>0</v>
      </c>
    </row>
    <row r="7" spans="1:5" x14ac:dyDescent="0.35">
      <c r="A7" s="2" t="s">
        <v>26</v>
      </c>
      <c r="B7" s="2" t="s">
        <v>30</v>
      </c>
      <c r="C7" s="9">
        <v>0</v>
      </c>
      <c r="D7" s="5"/>
      <c r="E7" s="10">
        <f t="shared" si="0"/>
        <v>0</v>
      </c>
    </row>
    <row r="8" spans="1:5" x14ac:dyDescent="0.35">
      <c r="A8" s="2" t="s">
        <v>31</v>
      </c>
      <c r="B8" s="2" t="s">
        <v>32</v>
      </c>
      <c r="C8" s="9">
        <v>0</v>
      </c>
      <c r="D8" s="5"/>
      <c r="E8" s="10">
        <f t="shared" si="0"/>
        <v>0</v>
      </c>
    </row>
    <row r="9" spans="1:5" x14ac:dyDescent="0.35">
      <c r="A9" s="2" t="s">
        <v>31</v>
      </c>
      <c r="B9" s="2" t="s">
        <v>33</v>
      </c>
      <c r="C9" s="9">
        <v>0</v>
      </c>
      <c r="D9" s="5"/>
      <c r="E9" s="10">
        <f t="shared" si="0"/>
        <v>0</v>
      </c>
    </row>
    <row r="10" spans="1:5" x14ac:dyDescent="0.35">
      <c r="A10" s="2" t="s">
        <v>31</v>
      </c>
      <c r="B10" s="2" t="s">
        <v>34</v>
      </c>
      <c r="C10" s="9">
        <v>0</v>
      </c>
      <c r="D10" s="5"/>
      <c r="E10" s="10">
        <f t="shared" si="0"/>
        <v>0</v>
      </c>
    </row>
    <row r="11" spans="1:5" x14ac:dyDescent="0.35">
      <c r="A11" s="2" t="s">
        <v>31</v>
      </c>
      <c r="B11" s="2" t="s">
        <v>35</v>
      </c>
      <c r="C11" s="9">
        <v>0</v>
      </c>
      <c r="D11" s="5"/>
      <c r="E11" s="10">
        <f t="shared" si="0"/>
        <v>0</v>
      </c>
    </row>
    <row r="12" spans="1:5" x14ac:dyDescent="0.35">
      <c r="A12" s="2" t="s">
        <v>31</v>
      </c>
      <c r="B12" s="2" t="s">
        <v>36</v>
      </c>
      <c r="C12" s="9">
        <v>0</v>
      </c>
      <c r="D12" s="5"/>
      <c r="E12" s="10">
        <f t="shared" si="0"/>
        <v>0</v>
      </c>
    </row>
    <row r="13" spans="1:5" x14ac:dyDescent="0.35">
      <c r="A13" s="2" t="s">
        <v>31</v>
      </c>
      <c r="B13" s="2" t="s">
        <v>37</v>
      </c>
      <c r="C13" s="9">
        <v>0</v>
      </c>
      <c r="D13" s="5"/>
      <c r="E13" s="10">
        <f t="shared" si="0"/>
        <v>0</v>
      </c>
    </row>
    <row r="14" spans="1:5" x14ac:dyDescent="0.35">
      <c r="A14" s="2" t="s">
        <v>31</v>
      </c>
      <c r="B14" s="2" t="s">
        <v>38</v>
      </c>
      <c r="C14" s="9">
        <v>0</v>
      </c>
      <c r="D14" s="5"/>
      <c r="E14" s="10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10" customWidth="1"/>
    <col min="3" max="3" width="14" customWidth="1"/>
    <col min="4" max="4" width="22" customWidth="1"/>
    <col min="5" max="5" width="32" customWidth="1"/>
    <col min="6" max="6" width="14" customWidth="1"/>
    <col min="7" max="7" width="18" customWidth="1"/>
    <col min="8" max="8" width="14" customWidth="1"/>
    <col min="9" max="9" width="36" customWidth="1"/>
  </cols>
  <sheetData>
    <row r="1" spans="1:9" ht="36" x14ac:dyDescent="0.35">
      <c r="A1" s="4" t="s">
        <v>39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s="7" t="s">
        <v>40</v>
      </c>
      <c r="B3" s="7" t="s">
        <v>41</v>
      </c>
      <c r="C3" s="7" t="s">
        <v>21</v>
      </c>
      <c r="D3" s="7" t="s">
        <v>22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24</v>
      </c>
    </row>
    <row r="4" spans="1:9" x14ac:dyDescent="0.35">
      <c r="A4" s="5"/>
      <c r="B4" s="11" t="str">
        <f>IF(OR(A4="",Timeline!$B$4=""),"",MIN(13,MAX(1,INT((A4-Timeline!$B$4)/7)+1)))</f>
        <v/>
      </c>
      <c r="C4" s="5"/>
      <c r="D4" s="5"/>
      <c r="E4" s="5"/>
      <c r="F4" s="9"/>
      <c r="G4" s="5"/>
      <c r="H4" s="5"/>
      <c r="I4" s="5"/>
    </row>
    <row r="5" spans="1:9" x14ac:dyDescent="0.35">
      <c r="A5" s="5"/>
      <c r="B5" s="11" t="str">
        <f>IF(OR(A5="",Timeline!$B$4=""),"",MIN(13,MAX(1,INT((A5-Timeline!$B$4)/7)+1)))</f>
        <v/>
      </c>
      <c r="C5" s="5"/>
      <c r="D5" s="5"/>
      <c r="E5" s="5"/>
      <c r="F5" s="9"/>
      <c r="G5" s="5"/>
      <c r="H5" s="5"/>
      <c r="I5" s="5"/>
    </row>
    <row r="6" spans="1:9" x14ac:dyDescent="0.35">
      <c r="A6" s="5"/>
      <c r="B6" s="11" t="str">
        <f>IF(OR(A6="",Timeline!$B$4=""),"",MIN(13,MAX(1,INT((A6-Timeline!$B$4)/7)+1)))</f>
        <v/>
      </c>
      <c r="C6" s="5"/>
      <c r="D6" s="5"/>
      <c r="E6" s="5"/>
      <c r="F6" s="9"/>
      <c r="G6" s="5"/>
      <c r="H6" s="5"/>
      <c r="I6" s="5"/>
    </row>
    <row r="7" spans="1:9" x14ac:dyDescent="0.35">
      <c r="A7" s="5"/>
      <c r="B7" s="11" t="str">
        <f>IF(OR(A7="",Timeline!$B$4=""),"",MIN(13,MAX(1,INT((A7-Timeline!$B$4)/7)+1)))</f>
        <v/>
      </c>
      <c r="C7" s="5"/>
      <c r="D7" s="5"/>
      <c r="E7" s="5"/>
      <c r="F7" s="9"/>
      <c r="G7" s="5"/>
      <c r="H7" s="5"/>
      <c r="I7" s="5"/>
    </row>
    <row r="8" spans="1:9" x14ac:dyDescent="0.35">
      <c r="A8" s="5"/>
      <c r="B8" s="11" t="str">
        <f>IF(OR(A8="",Timeline!$B$4=""),"",MIN(13,MAX(1,INT((A8-Timeline!$B$4)/7)+1)))</f>
        <v/>
      </c>
      <c r="C8" s="5"/>
      <c r="D8" s="5"/>
      <c r="E8" s="5"/>
      <c r="F8" s="9"/>
      <c r="G8" s="5"/>
      <c r="H8" s="5"/>
      <c r="I8" s="5"/>
    </row>
    <row r="9" spans="1:9" x14ac:dyDescent="0.35">
      <c r="A9" s="5"/>
      <c r="B9" s="11" t="str">
        <f>IF(OR(A9="",Timeline!$B$4=""),"",MIN(13,MAX(1,INT((A9-Timeline!$B$4)/7)+1)))</f>
        <v/>
      </c>
      <c r="C9" s="5"/>
      <c r="D9" s="5"/>
      <c r="E9" s="5"/>
      <c r="F9" s="9"/>
      <c r="G9" s="5"/>
      <c r="H9" s="5"/>
      <c r="I9" s="5"/>
    </row>
    <row r="10" spans="1:9" x14ac:dyDescent="0.35">
      <c r="A10" s="5"/>
      <c r="B10" s="11" t="str">
        <f>IF(OR(A10="",Timeline!$B$4=""),"",MIN(13,MAX(1,INT((A10-Timeline!$B$4)/7)+1)))</f>
        <v/>
      </c>
      <c r="C10" s="5"/>
      <c r="D10" s="5"/>
      <c r="E10" s="5"/>
      <c r="F10" s="9"/>
      <c r="G10" s="5"/>
      <c r="H10" s="5"/>
      <c r="I10" s="5"/>
    </row>
    <row r="11" spans="1:9" x14ac:dyDescent="0.35">
      <c r="A11" s="5"/>
      <c r="B11" s="11" t="str">
        <f>IF(OR(A11="",Timeline!$B$4=""),"",MIN(13,MAX(1,INT((A11-Timeline!$B$4)/7)+1)))</f>
        <v/>
      </c>
      <c r="C11" s="5"/>
      <c r="D11" s="5"/>
      <c r="E11" s="5"/>
      <c r="F11" s="9"/>
      <c r="G11" s="5"/>
      <c r="H11" s="5"/>
      <c r="I11" s="5"/>
    </row>
    <row r="12" spans="1:9" x14ac:dyDescent="0.35">
      <c r="A12" s="5"/>
      <c r="B12" s="11" t="str">
        <f>IF(OR(A12="",Timeline!$B$4=""),"",MIN(13,MAX(1,INT((A12-Timeline!$B$4)/7)+1)))</f>
        <v/>
      </c>
      <c r="C12" s="5"/>
      <c r="D12" s="5"/>
      <c r="E12" s="5"/>
      <c r="F12" s="9"/>
      <c r="G12" s="5"/>
      <c r="H12" s="5"/>
      <c r="I12" s="5"/>
    </row>
    <row r="13" spans="1:9" x14ac:dyDescent="0.35">
      <c r="A13" s="5"/>
      <c r="B13" s="11" t="str">
        <f>IF(OR(A13="",Timeline!$B$4=""),"",MIN(13,MAX(1,INT((A13-Timeline!$B$4)/7)+1)))</f>
        <v/>
      </c>
      <c r="C13" s="5"/>
      <c r="D13" s="5"/>
      <c r="E13" s="5"/>
      <c r="F13" s="9"/>
      <c r="G13" s="5"/>
      <c r="H13" s="5"/>
      <c r="I13" s="5"/>
    </row>
    <row r="14" spans="1:9" x14ac:dyDescent="0.35">
      <c r="A14" s="5"/>
      <c r="B14" s="11" t="str">
        <f>IF(OR(A14="",Timeline!$B$4=""),"",MIN(13,MAX(1,INT((A14-Timeline!$B$4)/7)+1)))</f>
        <v/>
      </c>
      <c r="C14" s="5"/>
      <c r="D14" s="5"/>
      <c r="E14" s="5"/>
      <c r="F14" s="9"/>
      <c r="G14" s="5"/>
      <c r="H14" s="5"/>
      <c r="I14" s="5"/>
    </row>
    <row r="15" spans="1:9" x14ac:dyDescent="0.35">
      <c r="A15" s="5"/>
      <c r="B15" s="11" t="str">
        <f>IF(OR(A15="",Timeline!$B$4=""),"",MIN(13,MAX(1,INT((A15-Timeline!$B$4)/7)+1)))</f>
        <v/>
      </c>
      <c r="C15" s="5"/>
      <c r="D15" s="5"/>
      <c r="E15" s="5"/>
      <c r="F15" s="9"/>
      <c r="G15" s="5"/>
      <c r="H15" s="5"/>
      <c r="I15" s="5"/>
    </row>
    <row r="16" spans="1:9" x14ac:dyDescent="0.35">
      <c r="A16" s="5"/>
      <c r="B16" s="11" t="str">
        <f>IF(OR(A16="",Timeline!$B$4=""),"",MIN(13,MAX(1,INT((A16-Timeline!$B$4)/7)+1)))</f>
        <v/>
      </c>
      <c r="C16" s="5"/>
      <c r="D16" s="5"/>
      <c r="E16" s="5"/>
      <c r="F16" s="9"/>
      <c r="G16" s="5"/>
      <c r="H16" s="5"/>
      <c r="I16" s="5"/>
    </row>
    <row r="17" spans="1:9" x14ac:dyDescent="0.35">
      <c r="A17" s="5"/>
      <c r="B17" s="11" t="str">
        <f>IF(OR(A17="",Timeline!$B$4=""),"",MIN(13,MAX(1,INT((A17-Timeline!$B$4)/7)+1)))</f>
        <v/>
      </c>
      <c r="C17" s="5"/>
      <c r="D17" s="5"/>
      <c r="E17" s="5"/>
      <c r="F17" s="9"/>
      <c r="G17" s="5"/>
      <c r="H17" s="5"/>
      <c r="I17" s="5"/>
    </row>
    <row r="18" spans="1:9" x14ac:dyDescent="0.35">
      <c r="A18" s="5"/>
      <c r="B18" s="11" t="str">
        <f>IF(OR(A18="",Timeline!$B$4=""),"",MIN(13,MAX(1,INT((A18-Timeline!$B$4)/7)+1)))</f>
        <v/>
      </c>
      <c r="C18" s="5"/>
      <c r="D18" s="5"/>
      <c r="E18" s="5"/>
      <c r="F18" s="9"/>
      <c r="G18" s="5"/>
      <c r="H18" s="5"/>
      <c r="I18" s="5"/>
    </row>
    <row r="19" spans="1:9" x14ac:dyDescent="0.35">
      <c r="A19" s="5"/>
      <c r="B19" s="11" t="str">
        <f>IF(OR(A19="",Timeline!$B$4=""),"",MIN(13,MAX(1,INT((A19-Timeline!$B$4)/7)+1)))</f>
        <v/>
      </c>
      <c r="C19" s="5"/>
      <c r="D19" s="5"/>
      <c r="E19" s="5"/>
      <c r="F19" s="9"/>
      <c r="G19" s="5"/>
      <c r="H19" s="5"/>
      <c r="I19" s="5"/>
    </row>
    <row r="20" spans="1:9" x14ac:dyDescent="0.35">
      <c r="A20" s="5"/>
      <c r="B20" s="11" t="str">
        <f>IF(OR(A20="",Timeline!$B$4=""),"",MIN(13,MAX(1,INT((A20-Timeline!$B$4)/7)+1)))</f>
        <v/>
      </c>
      <c r="C20" s="5"/>
      <c r="D20" s="5"/>
      <c r="E20" s="5"/>
      <c r="F20" s="9"/>
      <c r="G20" s="5"/>
      <c r="H20" s="5"/>
      <c r="I20" s="5"/>
    </row>
    <row r="21" spans="1:9" x14ac:dyDescent="0.35">
      <c r="A21" s="5"/>
      <c r="B21" s="11" t="str">
        <f>IF(OR(A21="",Timeline!$B$4=""),"",MIN(13,MAX(1,INT((A21-Timeline!$B$4)/7)+1)))</f>
        <v/>
      </c>
      <c r="C21" s="5"/>
      <c r="D21" s="5"/>
      <c r="E21" s="5"/>
      <c r="F21" s="9"/>
      <c r="G21" s="5"/>
      <c r="H21" s="5"/>
      <c r="I21" s="5"/>
    </row>
    <row r="22" spans="1:9" x14ac:dyDescent="0.35">
      <c r="A22" s="5"/>
      <c r="B22" s="11" t="str">
        <f>IF(OR(A22="",Timeline!$B$4=""),"",MIN(13,MAX(1,INT((A22-Timeline!$B$4)/7)+1)))</f>
        <v/>
      </c>
      <c r="C22" s="5"/>
      <c r="D22" s="5"/>
      <c r="E22" s="5"/>
      <c r="F22" s="9"/>
      <c r="G22" s="5"/>
      <c r="H22" s="5"/>
      <c r="I22" s="5"/>
    </row>
    <row r="23" spans="1:9" x14ac:dyDescent="0.35">
      <c r="A23" s="5"/>
      <c r="B23" s="11" t="str">
        <f>IF(OR(A23="",Timeline!$B$4=""),"",MIN(13,MAX(1,INT((A23-Timeline!$B$4)/7)+1)))</f>
        <v/>
      </c>
      <c r="C23" s="5"/>
      <c r="D23" s="5"/>
      <c r="E23" s="5"/>
      <c r="F23" s="9"/>
      <c r="G23" s="5"/>
      <c r="H23" s="5"/>
      <c r="I23" s="5"/>
    </row>
    <row r="24" spans="1:9" x14ac:dyDescent="0.35">
      <c r="A24" s="5"/>
      <c r="B24" s="11" t="str">
        <f>IF(OR(A24="",Timeline!$B$4=""),"",MIN(13,MAX(1,INT((A24-Timeline!$B$4)/7)+1)))</f>
        <v/>
      </c>
      <c r="C24" s="5"/>
      <c r="D24" s="5"/>
      <c r="E24" s="5"/>
      <c r="F24" s="9"/>
      <c r="G24" s="5"/>
      <c r="H24" s="5"/>
      <c r="I24" s="5"/>
    </row>
    <row r="25" spans="1:9" x14ac:dyDescent="0.35">
      <c r="A25" s="5"/>
      <c r="B25" s="11" t="str">
        <f>IF(OR(A25="",Timeline!$B$4=""),"",MIN(13,MAX(1,INT((A25-Timeline!$B$4)/7)+1)))</f>
        <v/>
      </c>
      <c r="C25" s="5"/>
      <c r="D25" s="5"/>
      <c r="E25" s="5"/>
      <c r="F25" s="9"/>
      <c r="G25" s="5"/>
      <c r="H25" s="5"/>
      <c r="I25" s="5"/>
    </row>
    <row r="26" spans="1:9" x14ac:dyDescent="0.35">
      <c r="A26" s="5"/>
      <c r="B26" s="11" t="str">
        <f>IF(OR(A26="",Timeline!$B$4=""),"",MIN(13,MAX(1,INT((A26-Timeline!$B$4)/7)+1)))</f>
        <v/>
      </c>
      <c r="C26" s="5"/>
      <c r="D26" s="5"/>
      <c r="E26" s="5"/>
      <c r="F26" s="9"/>
      <c r="G26" s="5"/>
      <c r="H26" s="5"/>
      <c r="I26" s="5"/>
    </row>
    <row r="27" spans="1:9" x14ac:dyDescent="0.35">
      <c r="A27" s="5"/>
      <c r="B27" s="11" t="str">
        <f>IF(OR(A27="",Timeline!$B$4=""),"",MIN(13,MAX(1,INT((A27-Timeline!$B$4)/7)+1)))</f>
        <v/>
      </c>
      <c r="C27" s="5"/>
      <c r="D27" s="5"/>
      <c r="E27" s="5"/>
      <c r="F27" s="9"/>
      <c r="G27" s="5"/>
      <c r="H27" s="5"/>
      <c r="I27" s="5"/>
    </row>
    <row r="28" spans="1:9" x14ac:dyDescent="0.35">
      <c r="A28" s="5"/>
      <c r="B28" s="11" t="str">
        <f>IF(OR(A28="",Timeline!$B$4=""),"",MIN(13,MAX(1,INT((A28-Timeline!$B$4)/7)+1)))</f>
        <v/>
      </c>
      <c r="C28" s="5"/>
      <c r="D28" s="5"/>
      <c r="E28" s="5"/>
      <c r="F28" s="9"/>
      <c r="G28" s="5"/>
      <c r="H28" s="5"/>
      <c r="I28" s="5"/>
    </row>
    <row r="29" spans="1:9" x14ac:dyDescent="0.35">
      <c r="A29" s="5"/>
      <c r="B29" s="11" t="str">
        <f>IF(OR(A29="",Timeline!$B$4=""),"",MIN(13,MAX(1,INT((A29-Timeline!$B$4)/7)+1)))</f>
        <v/>
      </c>
      <c r="C29" s="5"/>
      <c r="D29" s="5"/>
      <c r="E29" s="5"/>
      <c r="F29" s="9"/>
      <c r="G29" s="5"/>
      <c r="H29" s="5"/>
      <c r="I29" s="5"/>
    </row>
    <row r="30" spans="1:9" x14ac:dyDescent="0.35">
      <c r="A30" s="5"/>
      <c r="B30" s="11" t="str">
        <f>IF(OR(A30="",Timeline!$B$4=""),"",MIN(13,MAX(1,INT((A30-Timeline!$B$4)/7)+1)))</f>
        <v/>
      </c>
      <c r="C30" s="5"/>
      <c r="D30" s="5"/>
      <c r="E30" s="5"/>
      <c r="F30" s="9"/>
      <c r="G30" s="5"/>
      <c r="H30" s="5"/>
      <c r="I30" s="5"/>
    </row>
    <row r="31" spans="1:9" x14ac:dyDescent="0.35">
      <c r="A31" s="5"/>
      <c r="B31" s="11" t="str">
        <f>IF(OR(A31="",Timeline!$B$4=""),"",MIN(13,MAX(1,INT((A31-Timeline!$B$4)/7)+1)))</f>
        <v/>
      </c>
      <c r="C31" s="5"/>
      <c r="D31" s="5"/>
      <c r="E31" s="5"/>
      <c r="F31" s="9"/>
      <c r="G31" s="5"/>
      <c r="H31" s="5"/>
      <c r="I31" s="5"/>
    </row>
    <row r="32" spans="1:9" x14ac:dyDescent="0.35">
      <c r="A32" s="5"/>
      <c r="B32" s="11" t="str">
        <f>IF(OR(A32="",Timeline!$B$4=""),"",MIN(13,MAX(1,INT((A32-Timeline!$B$4)/7)+1)))</f>
        <v/>
      </c>
      <c r="C32" s="5"/>
      <c r="D32" s="5"/>
      <c r="E32" s="5"/>
      <c r="F32" s="9"/>
      <c r="G32" s="5"/>
      <c r="H32" s="5"/>
      <c r="I32" s="5"/>
    </row>
    <row r="33" spans="1:9" x14ac:dyDescent="0.35">
      <c r="A33" s="5"/>
      <c r="B33" s="11" t="str">
        <f>IF(OR(A33="",Timeline!$B$4=""),"",MIN(13,MAX(1,INT((A33-Timeline!$B$4)/7)+1)))</f>
        <v/>
      </c>
      <c r="C33" s="5"/>
      <c r="D33" s="5"/>
      <c r="E33" s="5"/>
      <c r="F33" s="9"/>
      <c r="G33" s="5"/>
      <c r="H33" s="5"/>
      <c r="I33" s="5"/>
    </row>
    <row r="34" spans="1:9" x14ac:dyDescent="0.35">
      <c r="A34" s="5"/>
      <c r="B34" s="11" t="str">
        <f>IF(OR(A34="",Timeline!$B$4=""),"",MIN(13,MAX(1,INT((A34-Timeline!$B$4)/7)+1)))</f>
        <v/>
      </c>
      <c r="C34" s="5"/>
      <c r="D34" s="5"/>
      <c r="E34" s="5"/>
      <c r="F34" s="9"/>
      <c r="G34" s="5"/>
      <c r="H34" s="5"/>
      <c r="I34" s="5"/>
    </row>
    <row r="35" spans="1:9" x14ac:dyDescent="0.35">
      <c r="A35" s="5"/>
      <c r="B35" s="11" t="str">
        <f>IF(OR(A35="",Timeline!$B$4=""),"",MIN(13,MAX(1,INT((A35-Timeline!$B$4)/7)+1)))</f>
        <v/>
      </c>
      <c r="C35" s="5"/>
      <c r="D35" s="5"/>
      <c r="E35" s="5"/>
      <c r="F35" s="9"/>
      <c r="G35" s="5"/>
      <c r="H35" s="5"/>
      <c r="I35" s="5"/>
    </row>
    <row r="36" spans="1:9" x14ac:dyDescent="0.35">
      <c r="A36" s="5"/>
      <c r="B36" s="11" t="str">
        <f>IF(OR(A36="",Timeline!$B$4=""),"",MIN(13,MAX(1,INT((A36-Timeline!$B$4)/7)+1)))</f>
        <v/>
      </c>
      <c r="C36" s="5"/>
      <c r="D36" s="5"/>
      <c r="E36" s="5"/>
      <c r="F36" s="9"/>
      <c r="G36" s="5"/>
      <c r="H36" s="5"/>
      <c r="I36" s="5"/>
    </row>
    <row r="37" spans="1:9" x14ac:dyDescent="0.35">
      <c r="A37" s="5"/>
      <c r="B37" s="11" t="str">
        <f>IF(OR(A37="",Timeline!$B$4=""),"",MIN(13,MAX(1,INT((A37-Timeline!$B$4)/7)+1)))</f>
        <v/>
      </c>
      <c r="C37" s="5"/>
      <c r="D37" s="5"/>
      <c r="E37" s="5"/>
      <c r="F37" s="9"/>
      <c r="G37" s="5"/>
      <c r="H37" s="5"/>
      <c r="I37" s="5"/>
    </row>
    <row r="38" spans="1:9" x14ac:dyDescent="0.35">
      <c r="A38" s="5"/>
      <c r="B38" s="11" t="str">
        <f>IF(OR(A38="",Timeline!$B$4=""),"",MIN(13,MAX(1,INT((A38-Timeline!$B$4)/7)+1)))</f>
        <v/>
      </c>
      <c r="C38" s="5"/>
      <c r="D38" s="5"/>
      <c r="E38" s="5"/>
      <c r="F38" s="9"/>
      <c r="G38" s="5"/>
      <c r="H38" s="5"/>
      <c r="I38" s="5"/>
    </row>
    <row r="39" spans="1:9" x14ac:dyDescent="0.35">
      <c r="A39" s="5"/>
      <c r="B39" s="11" t="str">
        <f>IF(OR(A39="",Timeline!$B$4=""),"",MIN(13,MAX(1,INT((A39-Timeline!$B$4)/7)+1)))</f>
        <v/>
      </c>
      <c r="C39" s="5"/>
      <c r="D39" s="5"/>
      <c r="E39" s="5"/>
      <c r="F39" s="9"/>
      <c r="G39" s="5"/>
      <c r="H39" s="5"/>
      <c r="I39" s="5"/>
    </row>
    <row r="40" spans="1:9" x14ac:dyDescent="0.35">
      <c r="A40" s="5"/>
      <c r="B40" s="11" t="str">
        <f>IF(OR(A40="",Timeline!$B$4=""),"",MIN(13,MAX(1,INT((A40-Timeline!$B$4)/7)+1)))</f>
        <v/>
      </c>
      <c r="C40" s="5"/>
      <c r="D40" s="5"/>
      <c r="E40" s="5"/>
      <c r="F40" s="9"/>
      <c r="G40" s="5"/>
      <c r="H40" s="5"/>
      <c r="I40" s="5"/>
    </row>
    <row r="41" spans="1:9" x14ac:dyDescent="0.35">
      <c r="A41" s="5"/>
      <c r="B41" s="11" t="str">
        <f>IF(OR(A41="",Timeline!$B$4=""),"",MIN(13,MAX(1,INT((A41-Timeline!$B$4)/7)+1)))</f>
        <v/>
      </c>
      <c r="C41" s="5"/>
      <c r="D41" s="5"/>
      <c r="E41" s="5"/>
      <c r="F41" s="9"/>
      <c r="G41" s="5"/>
      <c r="H41" s="5"/>
      <c r="I41" s="5"/>
    </row>
    <row r="42" spans="1:9" x14ac:dyDescent="0.35">
      <c r="A42" s="5"/>
      <c r="B42" s="11" t="str">
        <f>IF(OR(A42="",Timeline!$B$4=""),"",MIN(13,MAX(1,INT((A42-Timeline!$B$4)/7)+1)))</f>
        <v/>
      </c>
      <c r="C42" s="5"/>
      <c r="D42" s="5"/>
      <c r="E42" s="5"/>
      <c r="F42" s="9"/>
      <c r="G42" s="5"/>
      <c r="H42" s="5"/>
      <c r="I42" s="5"/>
    </row>
    <row r="43" spans="1:9" x14ac:dyDescent="0.35">
      <c r="A43" s="5"/>
      <c r="B43" s="11" t="str">
        <f>IF(OR(A43="",Timeline!$B$4=""),"",MIN(13,MAX(1,INT((A43-Timeline!$B$4)/7)+1)))</f>
        <v/>
      </c>
      <c r="C43" s="5"/>
      <c r="D43" s="5"/>
      <c r="E43" s="5"/>
      <c r="F43" s="9"/>
      <c r="G43" s="5"/>
      <c r="H43" s="5"/>
      <c r="I43" s="5"/>
    </row>
    <row r="44" spans="1:9" x14ac:dyDescent="0.35">
      <c r="A44" s="5"/>
      <c r="B44" s="11" t="str">
        <f>IF(OR(A44="",Timeline!$B$4=""),"",MIN(13,MAX(1,INT((A44-Timeline!$B$4)/7)+1)))</f>
        <v/>
      </c>
      <c r="C44" s="5"/>
      <c r="D44" s="5"/>
      <c r="E44" s="5"/>
      <c r="F44" s="9"/>
      <c r="G44" s="5"/>
      <c r="H44" s="5"/>
      <c r="I44" s="5"/>
    </row>
    <row r="45" spans="1:9" x14ac:dyDescent="0.35">
      <c r="A45" s="5"/>
      <c r="B45" s="11" t="str">
        <f>IF(OR(A45="",Timeline!$B$4=""),"",MIN(13,MAX(1,INT((A45-Timeline!$B$4)/7)+1)))</f>
        <v/>
      </c>
      <c r="C45" s="5"/>
      <c r="D45" s="5"/>
      <c r="E45" s="5"/>
      <c r="F45" s="9"/>
      <c r="G45" s="5"/>
      <c r="H45" s="5"/>
      <c r="I45" s="5"/>
    </row>
    <row r="46" spans="1:9" x14ac:dyDescent="0.35">
      <c r="A46" s="5"/>
      <c r="B46" s="11" t="str">
        <f>IF(OR(A46="",Timeline!$B$4=""),"",MIN(13,MAX(1,INT((A46-Timeline!$B$4)/7)+1)))</f>
        <v/>
      </c>
      <c r="C46" s="5"/>
      <c r="D46" s="5"/>
      <c r="E46" s="5"/>
      <c r="F46" s="9"/>
      <c r="G46" s="5"/>
      <c r="H46" s="5"/>
      <c r="I46" s="5"/>
    </row>
    <row r="47" spans="1:9" x14ac:dyDescent="0.35">
      <c r="A47" s="5"/>
      <c r="B47" s="11" t="str">
        <f>IF(OR(A47="",Timeline!$B$4=""),"",MIN(13,MAX(1,INT((A47-Timeline!$B$4)/7)+1)))</f>
        <v/>
      </c>
      <c r="C47" s="5"/>
      <c r="D47" s="5"/>
      <c r="E47" s="5"/>
      <c r="F47" s="9"/>
      <c r="G47" s="5"/>
      <c r="H47" s="5"/>
      <c r="I47" s="5"/>
    </row>
    <row r="48" spans="1:9" x14ac:dyDescent="0.35">
      <c r="A48" s="5"/>
      <c r="B48" s="11" t="str">
        <f>IF(OR(A48="",Timeline!$B$4=""),"",MIN(13,MAX(1,INT((A48-Timeline!$B$4)/7)+1)))</f>
        <v/>
      </c>
      <c r="C48" s="5"/>
      <c r="D48" s="5"/>
      <c r="E48" s="5"/>
      <c r="F48" s="9"/>
      <c r="G48" s="5"/>
      <c r="H48" s="5"/>
      <c r="I48" s="5"/>
    </row>
    <row r="49" spans="1:9" x14ac:dyDescent="0.35">
      <c r="A49" s="5"/>
      <c r="B49" s="11" t="str">
        <f>IF(OR(A49="",Timeline!$B$4=""),"",MIN(13,MAX(1,INT((A49-Timeline!$B$4)/7)+1)))</f>
        <v/>
      </c>
      <c r="C49" s="5"/>
      <c r="D49" s="5"/>
      <c r="E49" s="5"/>
      <c r="F49" s="9"/>
      <c r="G49" s="5"/>
      <c r="H49" s="5"/>
      <c r="I49" s="5"/>
    </row>
    <row r="50" spans="1:9" x14ac:dyDescent="0.35">
      <c r="A50" s="5"/>
      <c r="B50" s="11" t="str">
        <f>IF(OR(A50="",Timeline!$B$4=""),"",MIN(13,MAX(1,INT((A50-Timeline!$B$4)/7)+1)))</f>
        <v/>
      </c>
      <c r="C50" s="5"/>
      <c r="D50" s="5"/>
      <c r="E50" s="5"/>
      <c r="F50" s="9"/>
      <c r="G50" s="5"/>
      <c r="H50" s="5"/>
      <c r="I50" s="5"/>
    </row>
    <row r="51" spans="1:9" x14ac:dyDescent="0.35">
      <c r="A51" s="5"/>
      <c r="B51" s="11" t="str">
        <f>IF(OR(A51="",Timeline!$B$4=""),"",MIN(13,MAX(1,INT((A51-Timeline!$B$4)/7)+1)))</f>
        <v/>
      </c>
      <c r="C51" s="5"/>
      <c r="D51" s="5"/>
      <c r="E51" s="5"/>
      <c r="F51" s="9"/>
      <c r="G51" s="5"/>
      <c r="H51" s="5"/>
      <c r="I51" s="5"/>
    </row>
    <row r="52" spans="1:9" x14ac:dyDescent="0.35">
      <c r="A52" s="5"/>
      <c r="B52" s="11" t="str">
        <f>IF(OR(A52="",Timeline!$B$4=""),"",MIN(13,MAX(1,INT((A52-Timeline!$B$4)/7)+1)))</f>
        <v/>
      </c>
      <c r="C52" s="5"/>
      <c r="D52" s="5"/>
      <c r="E52" s="5"/>
      <c r="F52" s="9"/>
      <c r="G52" s="5"/>
      <c r="H52" s="5"/>
      <c r="I52" s="5"/>
    </row>
    <row r="53" spans="1:9" x14ac:dyDescent="0.35">
      <c r="A53" s="5"/>
      <c r="B53" s="11" t="str">
        <f>IF(OR(A53="",Timeline!$B$4=""),"",MIN(13,MAX(1,INT((A53-Timeline!$B$4)/7)+1)))</f>
        <v/>
      </c>
      <c r="C53" s="5"/>
      <c r="D53" s="5"/>
      <c r="E53" s="5"/>
      <c r="F53" s="9"/>
      <c r="G53" s="5"/>
      <c r="H53" s="5"/>
      <c r="I53" s="5"/>
    </row>
    <row r="54" spans="1:9" x14ac:dyDescent="0.35">
      <c r="A54" s="5"/>
      <c r="B54" s="11" t="str">
        <f>IF(OR(A54="",Timeline!$B$4=""),"",MIN(13,MAX(1,INT((A54-Timeline!$B$4)/7)+1)))</f>
        <v/>
      </c>
      <c r="C54" s="5"/>
      <c r="D54" s="5"/>
      <c r="E54" s="5"/>
      <c r="F54" s="9"/>
      <c r="G54" s="5"/>
      <c r="H54" s="5"/>
      <c r="I54" s="5"/>
    </row>
    <row r="55" spans="1:9" x14ac:dyDescent="0.35">
      <c r="A55" s="5"/>
      <c r="B55" s="11" t="str">
        <f>IF(OR(A55="",Timeline!$B$4=""),"",MIN(13,MAX(1,INT((A55-Timeline!$B$4)/7)+1)))</f>
        <v/>
      </c>
      <c r="C55" s="5"/>
      <c r="D55" s="5"/>
      <c r="E55" s="5"/>
      <c r="F55" s="9"/>
      <c r="G55" s="5"/>
      <c r="H55" s="5"/>
      <c r="I55" s="5"/>
    </row>
    <row r="56" spans="1:9" x14ac:dyDescent="0.35">
      <c r="A56" s="5"/>
      <c r="B56" s="11" t="str">
        <f>IF(OR(A56="",Timeline!$B$4=""),"",MIN(13,MAX(1,INT((A56-Timeline!$B$4)/7)+1)))</f>
        <v/>
      </c>
      <c r="C56" s="5"/>
      <c r="D56" s="5"/>
      <c r="E56" s="5"/>
      <c r="F56" s="9"/>
      <c r="G56" s="5"/>
      <c r="H56" s="5"/>
      <c r="I56" s="5"/>
    </row>
    <row r="57" spans="1:9" x14ac:dyDescent="0.35">
      <c r="A57" s="5"/>
      <c r="B57" s="11" t="str">
        <f>IF(OR(A57="",Timeline!$B$4=""),"",MIN(13,MAX(1,INT((A57-Timeline!$B$4)/7)+1)))</f>
        <v/>
      </c>
      <c r="C57" s="5"/>
      <c r="D57" s="5"/>
      <c r="E57" s="5"/>
      <c r="F57" s="9"/>
      <c r="G57" s="5"/>
      <c r="H57" s="5"/>
      <c r="I57" s="5"/>
    </row>
    <row r="58" spans="1:9" x14ac:dyDescent="0.35">
      <c r="A58" s="5"/>
      <c r="B58" s="11" t="str">
        <f>IF(OR(A58="",Timeline!$B$4=""),"",MIN(13,MAX(1,INT((A58-Timeline!$B$4)/7)+1)))</f>
        <v/>
      </c>
      <c r="C58" s="5"/>
      <c r="D58" s="5"/>
      <c r="E58" s="5"/>
      <c r="F58" s="9"/>
      <c r="G58" s="5"/>
      <c r="H58" s="5"/>
      <c r="I58" s="5"/>
    </row>
    <row r="59" spans="1:9" x14ac:dyDescent="0.35">
      <c r="A59" s="5"/>
      <c r="B59" s="11" t="str">
        <f>IF(OR(A59="",Timeline!$B$4=""),"",MIN(13,MAX(1,INT((A59-Timeline!$B$4)/7)+1)))</f>
        <v/>
      </c>
      <c r="C59" s="5"/>
      <c r="D59" s="5"/>
      <c r="E59" s="5"/>
      <c r="F59" s="9"/>
      <c r="G59" s="5"/>
      <c r="H59" s="5"/>
      <c r="I59" s="5"/>
    </row>
    <row r="60" spans="1:9" x14ac:dyDescent="0.35">
      <c r="A60" s="5"/>
      <c r="B60" s="11" t="str">
        <f>IF(OR(A60="",Timeline!$B$4=""),"",MIN(13,MAX(1,INT((A60-Timeline!$B$4)/7)+1)))</f>
        <v/>
      </c>
      <c r="C60" s="5"/>
      <c r="D60" s="5"/>
      <c r="E60" s="5"/>
      <c r="F60" s="9"/>
      <c r="G60" s="5"/>
      <c r="H60" s="5"/>
      <c r="I60" s="5"/>
    </row>
    <row r="61" spans="1:9" x14ac:dyDescent="0.35">
      <c r="A61" s="5"/>
      <c r="B61" s="11" t="str">
        <f>IF(OR(A61="",Timeline!$B$4=""),"",MIN(13,MAX(1,INT((A61-Timeline!$B$4)/7)+1)))</f>
        <v/>
      </c>
      <c r="C61" s="5"/>
      <c r="D61" s="5"/>
      <c r="E61" s="5"/>
      <c r="F61" s="9"/>
      <c r="G61" s="5"/>
      <c r="H61" s="5"/>
      <c r="I61" s="5"/>
    </row>
    <row r="62" spans="1:9" x14ac:dyDescent="0.35">
      <c r="A62" s="5"/>
      <c r="B62" s="11" t="str">
        <f>IF(OR(A62="",Timeline!$B$4=""),"",MIN(13,MAX(1,INT((A62-Timeline!$B$4)/7)+1)))</f>
        <v/>
      </c>
      <c r="C62" s="5"/>
      <c r="D62" s="5"/>
      <c r="E62" s="5"/>
      <c r="F62" s="9"/>
      <c r="G62" s="5"/>
      <c r="H62" s="5"/>
      <c r="I62" s="5"/>
    </row>
    <row r="63" spans="1:9" x14ac:dyDescent="0.35">
      <c r="A63" s="5"/>
      <c r="B63" s="11" t="str">
        <f>IF(OR(A63="",Timeline!$B$4=""),"",MIN(13,MAX(1,INT((A63-Timeline!$B$4)/7)+1)))</f>
        <v/>
      </c>
      <c r="C63" s="5"/>
      <c r="D63" s="5"/>
      <c r="E63" s="5"/>
      <c r="F63" s="9"/>
      <c r="G63" s="5"/>
      <c r="H63" s="5"/>
      <c r="I63" s="5"/>
    </row>
    <row r="64" spans="1:9" x14ac:dyDescent="0.35">
      <c r="A64" s="5"/>
      <c r="B64" s="11" t="str">
        <f>IF(OR(A64="",Timeline!$B$4=""),"",MIN(13,MAX(1,INT((A64-Timeline!$B$4)/7)+1)))</f>
        <v/>
      </c>
      <c r="C64" s="5"/>
      <c r="D64" s="5"/>
      <c r="E64" s="5"/>
      <c r="F64" s="9"/>
      <c r="G64" s="5"/>
      <c r="H64" s="5"/>
      <c r="I64" s="5"/>
    </row>
    <row r="65" spans="1:9" x14ac:dyDescent="0.35">
      <c r="A65" s="5"/>
      <c r="B65" s="11" t="str">
        <f>IF(OR(A65="",Timeline!$B$4=""),"",MIN(13,MAX(1,INT((A65-Timeline!$B$4)/7)+1)))</f>
        <v/>
      </c>
      <c r="C65" s="5"/>
      <c r="D65" s="5"/>
      <c r="E65" s="5"/>
      <c r="F65" s="9"/>
      <c r="G65" s="5"/>
      <c r="H65" s="5"/>
      <c r="I65" s="5"/>
    </row>
    <row r="66" spans="1:9" x14ac:dyDescent="0.35">
      <c r="A66" s="5"/>
      <c r="B66" s="11" t="str">
        <f>IF(OR(A66="",Timeline!$B$4=""),"",MIN(13,MAX(1,INT((A66-Timeline!$B$4)/7)+1)))</f>
        <v/>
      </c>
      <c r="C66" s="5"/>
      <c r="D66" s="5"/>
      <c r="E66" s="5"/>
      <c r="F66" s="9"/>
      <c r="G66" s="5"/>
      <c r="H66" s="5"/>
      <c r="I66" s="5"/>
    </row>
    <row r="67" spans="1:9" x14ac:dyDescent="0.35">
      <c r="A67" s="5"/>
      <c r="B67" s="11" t="str">
        <f>IF(OR(A67="",Timeline!$B$4=""),"",MIN(13,MAX(1,INT((A67-Timeline!$B$4)/7)+1)))</f>
        <v/>
      </c>
      <c r="C67" s="5"/>
      <c r="D67" s="5"/>
      <c r="E67" s="5"/>
      <c r="F67" s="9"/>
      <c r="G67" s="5"/>
      <c r="H67" s="5"/>
      <c r="I67" s="5"/>
    </row>
    <row r="68" spans="1:9" x14ac:dyDescent="0.35">
      <c r="A68" s="5"/>
      <c r="B68" s="11" t="str">
        <f>IF(OR(A68="",Timeline!$B$4=""),"",MIN(13,MAX(1,INT((A68-Timeline!$B$4)/7)+1)))</f>
        <v/>
      </c>
      <c r="C68" s="5"/>
      <c r="D68" s="5"/>
      <c r="E68" s="5"/>
      <c r="F68" s="9"/>
      <c r="G68" s="5"/>
      <c r="H68" s="5"/>
      <c r="I68" s="5"/>
    </row>
    <row r="69" spans="1:9" x14ac:dyDescent="0.35">
      <c r="A69" s="5"/>
      <c r="B69" s="11" t="str">
        <f>IF(OR(A69="",Timeline!$B$4=""),"",MIN(13,MAX(1,INT((A69-Timeline!$B$4)/7)+1)))</f>
        <v/>
      </c>
      <c r="C69" s="5"/>
      <c r="D69" s="5"/>
      <c r="E69" s="5"/>
      <c r="F69" s="9"/>
      <c r="G69" s="5"/>
      <c r="H69" s="5"/>
      <c r="I69" s="5"/>
    </row>
    <row r="70" spans="1:9" x14ac:dyDescent="0.35">
      <c r="A70" s="5"/>
      <c r="B70" s="11" t="str">
        <f>IF(OR(A70="",Timeline!$B$4=""),"",MIN(13,MAX(1,INT((A70-Timeline!$B$4)/7)+1)))</f>
        <v/>
      </c>
      <c r="C70" s="5"/>
      <c r="D70" s="5"/>
      <c r="E70" s="5"/>
      <c r="F70" s="9"/>
      <c r="G70" s="5"/>
      <c r="H70" s="5"/>
      <c r="I70" s="5"/>
    </row>
    <row r="71" spans="1:9" x14ac:dyDescent="0.35">
      <c r="A71" s="5"/>
      <c r="B71" s="11" t="str">
        <f>IF(OR(A71="",Timeline!$B$4=""),"",MIN(13,MAX(1,INT((A71-Timeline!$B$4)/7)+1)))</f>
        <v/>
      </c>
      <c r="C71" s="5"/>
      <c r="D71" s="5"/>
      <c r="E71" s="5"/>
      <c r="F71" s="9"/>
      <c r="G71" s="5"/>
      <c r="H71" s="5"/>
      <c r="I71" s="5"/>
    </row>
    <row r="72" spans="1:9" x14ac:dyDescent="0.35">
      <c r="A72" s="5"/>
      <c r="B72" s="11" t="str">
        <f>IF(OR(A72="",Timeline!$B$4=""),"",MIN(13,MAX(1,INT((A72-Timeline!$B$4)/7)+1)))</f>
        <v/>
      </c>
      <c r="C72" s="5"/>
      <c r="D72" s="5"/>
      <c r="E72" s="5"/>
      <c r="F72" s="9"/>
      <c r="G72" s="5"/>
      <c r="H72" s="5"/>
      <c r="I72" s="5"/>
    </row>
    <row r="73" spans="1:9" x14ac:dyDescent="0.35">
      <c r="A73" s="5"/>
      <c r="B73" s="11" t="str">
        <f>IF(OR(A73="",Timeline!$B$4=""),"",MIN(13,MAX(1,INT((A73-Timeline!$B$4)/7)+1)))</f>
        <v/>
      </c>
      <c r="C73" s="5"/>
      <c r="D73" s="5"/>
      <c r="E73" s="5"/>
      <c r="F73" s="9"/>
      <c r="G73" s="5"/>
      <c r="H73" s="5"/>
      <c r="I73" s="5"/>
    </row>
    <row r="74" spans="1:9" x14ac:dyDescent="0.35">
      <c r="A74" s="5"/>
      <c r="B74" s="11" t="str">
        <f>IF(OR(A74="",Timeline!$B$4=""),"",MIN(13,MAX(1,INT((A74-Timeline!$B$4)/7)+1)))</f>
        <v/>
      </c>
      <c r="C74" s="5"/>
      <c r="D74" s="5"/>
      <c r="E74" s="5"/>
      <c r="F74" s="9"/>
      <c r="G74" s="5"/>
      <c r="H74" s="5"/>
      <c r="I74" s="5"/>
    </row>
    <row r="75" spans="1:9" x14ac:dyDescent="0.35">
      <c r="A75" s="5"/>
      <c r="B75" s="11" t="str">
        <f>IF(OR(A75="",Timeline!$B$4=""),"",MIN(13,MAX(1,INT((A75-Timeline!$B$4)/7)+1)))</f>
        <v/>
      </c>
      <c r="C75" s="5"/>
      <c r="D75" s="5"/>
      <c r="E75" s="5"/>
      <c r="F75" s="9"/>
      <c r="G75" s="5"/>
      <c r="H75" s="5"/>
      <c r="I75" s="5"/>
    </row>
    <row r="76" spans="1:9" x14ac:dyDescent="0.35">
      <c r="A76" s="5"/>
      <c r="B76" s="11" t="str">
        <f>IF(OR(A76="",Timeline!$B$4=""),"",MIN(13,MAX(1,INT((A76-Timeline!$B$4)/7)+1)))</f>
        <v/>
      </c>
      <c r="C76" s="5"/>
      <c r="D76" s="5"/>
      <c r="E76" s="5"/>
      <c r="F76" s="9"/>
      <c r="G76" s="5"/>
      <c r="H76" s="5"/>
      <c r="I76" s="5"/>
    </row>
    <row r="77" spans="1:9" x14ac:dyDescent="0.35">
      <c r="A77" s="5"/>
      <c r="B77" s="11" t="str">
        <f>IF(OR(A77="",Timeline!$B$4=""),"",MIN(13,MAX(1,INT((A77-Timeline!$B$4)/7)+1)))</f>
        <v/>
      </c>
      <c r="C77" s="5"/>
      <c r="D77" s="5"/>
      <c r="E77" s="5"/>
      <c r="F77" s="9"/>
      <c r="G77" s="5"/>
      <c r="H77" s="5"/>
      <c r="I77" s="5"/>
    </row>
    <row r="78" spans="1:9" x14ac:dyDescent="0.35">
      <c r="A78" s="5"/>
      <c r="B78" s="11" t="str">
        <f>IF(OR(A78="",Timeline!$B$4=""),"",MIN(13,MAX(1,INT((A78-Timeline!$B$4)/7)+1)))</f>
        <v/>
      </c>
      <c r="C78" s="5"/>
      <c r="D78" s="5"/>
      <c r="E78" s="5"/>
      <c r="F78" s="9"/>
      <c r="G78" s="5"/>
      <c r="H78" s="5"/>
      <c r="I78" s="5"/>
    </row>
    <row r="79" spans="1:9" x14ac:dyDescent="0.35">
      <c r="A79" s="5"/>
      <c r="B79" s="11" t="str">
        <f>IF(OR(A79="",Timeline!$B$4=""),"",MIN(13,MAX(1,INT((A79-Timeline!$B$4)/7)+1)))</f>
        <v/>
      </c>
      <c r="C79" s="5"/>
      <c r="D79" s="5"/>
      <c r="E79" s="5"/>
      <c r="F79" s="9"/>
      <c r="G79" s="5"/>
      <c r="H79" s="5"/>
      <c r="I79" s="5"/>
    </row>
    <row r="80" spans="1:9" x14ac:dyDescent="0.35">
      <c r="A80" s="5"/>
      <c r="B80" s="11" t="str">
        <f>IF(OR(A80="",Timeline!$B$4=""),"",MIN(13,MAX(1,INT((A80-Timeline!$B$4)/7)+1)))</f>
        <v/>
      </c>
      <c r="C80" s="5"/>
      <c r="D80" s="5"/>
      <c r="E80" s="5"/>
      <c r="F80" s="9"/>
      <c r="G80" s="5"/>
      <c r="H80" s="5"/>
      <c r="I80" s="5"/>
    </row>
    <row r="81" spans="1:9" x14ac:dyDescent="0.35">
      <c r="A81" s="5"/>
      <c r="B81" s="11" t="str">
        <f>IF(OR(A81="",Timeline!$B$4=""),"",MIN(13,MAX(1,INT((A81-Timeline!$B$4)/7)+1)))</f>
        <v/>
      </c>
      <c r="C81" s="5"/>
      <c r="D81" s="5"/>
      <c r="E81" s="5"/>
      <c r="F81" s="9"/>
      <c r="G81" s="5"/>
      <c r="H81" s="5"/>
      <c r="I81" s="5"/>
    </row>
    <row r="82" spans="1:9" x14ac:dyDescent="0.35">
      <c r="A82" s="5"/>
      <c r="B82" s="11" t="str">
        <f>IF(OR(A82="",Timeline!$B$4=""),"",MIN(13,MAX(1,INT((A82-Timeline!$B$4)/7)+1)))</f>
        <v/>
      </c>
      <c r="C82" s="5"/>
      <c r="D82" s="5"/>
      <c r="E82" s="5"/>
      <c r="F82" s="9"/>
      <c r="G82" s="5"/>
      <c r="H82" s="5"/>
      <c r="I82" s="5"/>
    </row>
    <row r="83" spans="1:9" x14ac:dyDescent="0.35">
      <c r="A83" s="5"/>
      <c r="B83" s="11" t="str">
        <f>IF(OR(A83="",Timeline!$B$4=""),"",MIN(13,MAX(1,INT((A83-Timeline!$B$4)/7)+1)))</f>
        <v/>
      </c>
      <c r="C83" s="5"/>
      <c r="D83" s="5"/>
      <c r="E83" s="5"/>
      <c r="F83" s="9"/>
      <c r="G83" s="5"/>
      <c r="H83" s="5"/>
      <c r="I83" s="5"/>
    </row>
    <row r="84" spans="1:9" x14ac:dyDescent="0.35">
      <c r="A84" s="5"/>
      <c r="B84" s="11" t="str">
        <f>IF(OR(A84="",Timeline!$B$4=""),"",MIN(13,MAX(1,INT((A84-Timeline!$B$4)/7)+1)))</f>
        <v/>
      </c>
      <c r="C84" s="5"/>
      <c r="D84" s="5"/>
      <c r="E84" s="5"/>
      <c r="F84" s="9"/>
      <c r="G84" s="5"/>
      <c r="H84" s="5"/>
      <c r="I84" s="5"/>
    </row>
    <row r="85" spans="1:9" x14ac:dyDescent="0.35">
      <c r="A85" s="5"/>
      <c r="B85" s="11" t="str">
        <f>IF(OR(A85="",Timeline!$B$4=""),"",MIN(13,MAX(1,INT((A85-Timeline!$B$4)/7)+1)))</f>
        <v/>
      </c>
      <c r="C85" s="5"/>
      <c r="D85" s="5"/>
      <c r="E85" s="5"/>
      <c r="F85" s="9"/>
      <c r="G85" s="5"/>
      <c r="H85" s="5"/>
      <c r="I85" s="5"/>
    </row>
    <row r="86" spans="1:9" x14ac:dyDescent="0.35">
      <c r="A86" s="5"/>
      <c r="B86" s="11" t="str">
        <f>IF(OR(A86="",Timeline!$B$4=""),"",MIN(13,MAX(1,INT((A86-Timeline!$B$4)/7)+1)))</f>
        <v/>
      </c>
      <c r="C86" s="5"/>
      <c r="D86" s="5"/>
      <c r="E86" s="5"/>
      <c r="F86" s="9"/>
      <c r="G86" s="5"/>
      <c r="H86" s="5"/>
      <c r="I86" s="5"/>
    </row>
    <row r="87" spans="1:9" x14ac:dyDescent="0.35">
      <c r="A87" s="5"/>
      <c r="B87" s="11" t="str">
        <f>IF(OR(A87="",Timeline!$B$4=""),"",MIN(13,MAX(1,INT((A87-Timeline!$B$4)/7)+1)))</f>
        <v/>
      </c>
      <c r="C87" s="5"/>
      <c r="D87" s="5"/>
      <c r="E87" s="5"/>
      <c r="F87" s="9"/>
      <c r="G87" s="5"/>
      <c r="H87" s="5"/>
      <c r="I87" s="5"/>
    </row>
    <row r="88" spans="1:9" x14ac:dyDescent="0.35">
      <c r="A88" s="5"/>
      <c r="B88" s="11" t="str">
        <f>IF(OR(A88="",Timeline!$B$4=""),"",MIN(13,MAX(1,INT((A88-Timeline!$B$4)/7)+1)))</f>
        <v/>
      </c>
      <c r="C88" s="5"/>
      <c r="D88" s="5"/>
      <c r="E88" s="5"/>
      <c r="F88" s="9"/>
      <c r="G88" s="5"/>
      <c r="H88" s="5"/>
      <c r="I88" s="5"/>
    </row>
    <row r="89" spans="1:9" x14ac:dyDescent="0.35">
      <c r="A89" s="5"/>
      <c r="B89" s="11" t="str">
        <f>IF(OR(A89="",Timeline!$B$4=""),"",MIN(13,MAX(1,INT((A89-Timeline!$B$4)/7)+1)))</f>
        <v/>
      </c>
      <c r="C89" s="5"/>
      <c r="D89" s="5"/>
      <c r="E89" s="5"/>
      <c r="F89" s="9"/>
      <c r="G89" s="5"/>
      <c r="H89" s="5"/>
      <c r="I89" s="5"/>
    </row>
    <row r="90" spans="1:9" x14ac:dyDescent="0.35">
      <c r="A90" s="5"/>
      <c r="B90" s="11" t="str">
        <f>IF(OR(A90="",Timeline!$B$4=""),"",MIN(13,MAX(1,INT((A90-Timeline!$B$4)/7)+1)))</f>
        <v/>
      </c>
      <c r="C90" s="5"/>
      <c r="D90" s="5"/>
      <c r="E90" s="5"/>
      <c r="F90" s="9"/>
      <c r="G90" s="5"/>
      <c r="H90" s="5"/>
      <c r="I90" s="5"/>
    </row>
    <row r="91" spans="1:9" x14ac:dyDescent="0.35">
      <c r="A91" s="5"/>
      <c r="B91" s="11" t="str">
        <f>IF(OR(A91="",Timeline!$B$4=""),"",MIN(13,MAX(1,INT((A91-Timeline!$B$4)/7)+1)))</f>
        <v/>
      </c>
      <c r="C91" s="5"/>
      <c r="D91" s="5"/>
      <c r="E91" s="5"/>
      <c r="F91" s="9"/>
      <c r="G91" s="5"/>
      <c r="H91" s="5"/>
      <c r="I91" s="5"/>
    </row>
    <row r="92" spans="1:9" x14ac:dyDescent="0.35">
      <c r="A92" s="5"/>
      <c r="B92" s="11" t="str">
        <f>IF(OR(A92="",Timeline!$B$4=""),"",MIN(13,MAX(1,INT((A92-Timeline!$B$4)/7)+1)))</f>
        <v/>
      </c>
      <c r="C92" s="5"/>
      <c r="D92" s="5"/>
      <c r="E92" s="5"/>
      <c r="F92" s="9"/>
      <c r="G92" s="5"/>
      <c r="H92" s="5"/>
      <c r="I92" s="5"/>
    </row>
    <row r="93" spans="1:9" x14ac:dyDescent="0.35">
      <c r="A93" s="5"/>
      <c r="B93" s="11" t="str">
        <f>IF(OR(A93="",Timeline!$B$4=""),"",MIN(13,MAX(1,INT((A93-Timeline!$B$4)/7)+1)))</f>
        <v/>
      </c>
      <c r="C93" s="5"/>
      <c r="D93" s="5"/>
      <c r="E93" s="5"/>
      <c r="F93" s="9"/>
      <c r="G93" s="5"/>
      <c r="H93" s="5"/>
      <c r="I93" s="5"/>
    </row>
    <row r="94" spans="1:9" x14ac:dyDescent="0.35">
      <c r="A94" s="5"/>
      <c r="B94" s="11" t="str">
        <f>IF(OR(A94="",Timeline!$B$4=""),"",MIN(13,MAX(1,INT((A94-Timeline!$B$4)/7)+1)))</f>
        <v/>
      </c>
      <c r="C94" s="5"/>
      <c r="D94" s="5"/>
      <c r="E94" s="5"/>
      <c r="F94" s="9"/>
      <c r="G94" s="5"/>
      <c r="H94" s="5"/>
      <c r="I94" s="5"/>
    </row>
    <row r="95" spans="1:9" x14ac:dyDescent="0.35">
      <c r="A95" s="5"/>
      <c r="B95" s="11" t="str">
        <f>IF(OR(A95="",Timeline!$B$4=""),"",MIN(13,MAX(1,INT((A95-Timeline!$B$4)/7)+1)))</f>
        <v/>
      </c>
      <c r="C95" s="5"/>
      <c r="D95" s="5"/>
      <c r="E95" s="5"/>
      <c r="F95" s="9"/>
      <c r="G95" s="5"/>
      <c r="H95" s="5"/>
      <c r="I95" s="5"/>
    </row>
    <row r="96" spans="1:9" x14ac:dyDescent="0.35">
      <c r="A96" s="5"/>
      <c r="B96" s="11" t="str">
        <f>IF(OR(A96="",Timeline!$B$4=""),"",MIN(13,MAX(1,INT((A96-Timeline!$B$4)/7)+1)))</f>
        <v/>
      </c>
      <c r="C96" s="5"/>
      <c r="D96" s="5"/>
      <c r="E96" s="5"/>
      <c r="F96" s="9"/>
      <c r="G96" s="5"/>
      <c r="H96" s="5"/>
      <c r="I96" s="5"/>
    </row>
    <row r="97" spans="1:9" x14ac:dyDescent="0.35">
      <c r="A97" s="5"/>
      <c r="B97" s="11" t="str">
        <f>IF(OR(A97="",Timeline!$B$4=""),"",MIN(13,MAX(1,INT((A97-Timeline!$B$4)/7)+1)))</f>
        <v/>
      </c>
      <c r="C97" s="5"/>
      <c r="D97" s="5"/>
      <c r="E97" s="5"/>
      <c r="F97" s="9"/>
      <c r="G97" s="5"/>
      <c r="H97" s="5"/>
      <c r="I97" s="5"/>
    </row>
    <row r="98" spans="1:9" x14ac:dyDescent="0.35">
      <c r="A98" s="5"/>
      <c r="B98" s="11" t="str">
        <f>IF(OR(A98="",Timeline!$B$4=""),"",MIN(13,MAX(1,INT((A98-Timeline!$B$4)/7)+1)))</f>
        <v/>
      </c>
      <c r="C98" s="5"/>
      <c r="D98" s="5"/>
      <c r="E98" s="5"/>
      <c r="F98" s="9"/>
      <c r="G98" s="5"/>
      <c r="H98" s="5"/>
      <c r="I98" s="5"/>
    </row>
    <row r="99" spans="1:9" x14ac:dyDescent="0.35">
      <c r="A99" s="5"/>
      <c r="B99" s="11" t="str">
        <f>IF(OR(A99="",Timeline!$B$4=""),"",MIN(13,MAX(1,INT((A99-Timeline!$B$4)/7)+1)))</f>
        <v/>
      </c>
      <c r="C99" s="5"/>
      <c r="D99" s="5"/>
      <c r="E99" s="5"/>
      <c r="F99" s="9"/>
      <c r="G99" s="5"/>
      <c r="H99" s="5"/>
      <c r="I99" s="5"/>
    </row>
    <row r="100" spans="1:9" x14ac:dyDescent="0.35">
      <c r="A100" s="5"/>
      <c r="B100" s="11" t="str">
        <f>IF(OR(A100="",Timeline!$B$4=""),"",MIN(13,MAX(1,INT((A100-Timeline!$B$4)/7)+1)))</f>
        <v/>
      </c>
      <c r="C100" s="5"/>
      <c r="D100" s="5"/>
      <c r="E100" s="5"/>
      <c r="F100" s="9"/>
      <c r="G100" s="5"/>
      <c r="H100" s="5"/>
      <c r="I100" s="5"/>
    </row>
    <row r="101" spans="1:9" x14ac:dyDescent="0.35">
      <c r="A101" s="5"/>
      <c r="B101" s="11" t="str">
        <f>IF(OR(A101="",Timeline!$B$4=""),"",MIN(13,MAX(1,INT((A101-Timeline!$B$4)/7)+1)))</f>
        <v/>
      </c>
      <c r="C101" s="5"/>
      <c r="D101" s="5"/>
      <c r="E101" s="5"/>
      <c r="F101" s="9"/>
      <c r="G101" s="5"/>
      <c r="H101" s="5"/>
      <c r="I101" s="5"/>
    </row>
    <row r="102" spans="1:9" x14ac:dyDescent="0.35">
      <c r="A102" s="5"/>
      <c r="B102" s="11" t="str">
        <f>IF(OR(A102="",Timeline!$B$4=""),"",MIN(13,MAX(1,INT((A102-Timeline!$B$4)/7)+1)))</f>
        <v/>
      </c>
      <c r="C102" s="5"/>
      <c r="D102" s="5"/>
      <c r="E102" s="5"/>
      <c r="F102" s="9"/>
      <c r="G102" s="5"/>
      <c r="H102" s="5"/>
      <c r="I102" s="5"/>
    </row>
    <row r="103" spans="1:9" x14ac:dyDescent="0.35">
      <c r="A103" s="5"/>
      <c r="B103" s="11" t="str">
        <f>IF(OR(A103="",Timeline!$B$4=""),"",MIN(13,MAX(1,INT((A103-Timeline!$B$4)/7)+1)))</f>
        <v/>
      </c>
      <c r="C103" s="5"/>
      <c r="D103" s="5"/>
      <c r="E103" s="5"/>
      <c r="F103" s="9"/>
      <c r="G103" s="5"/>
      <c r="H103" s="5"/>
      <c r="I103" s="5"/>
    </row>
    <row r="104" spans="1:9" x14ac:dyDescent="0.35">
      <c r="A104" s="5"/>
      <c r="B104" s="11" t="str">
        <f>IF(OR(A104="",Timeline!$B$4=""),"",MIN(13,MAX(1,INT((A104-Timeline!$B$4)/7)+1)))</f>
        <v/>
      </c>
      <c r="C104" s="5"/>
      <c r="D104" s="5"/>
      <c r="E104" s="5"/>
      <c r="F104" s="9"/>
      <c r="G104" s="5"/>
      <c r="H104" s="5"/>
      <c r="I104" s="5"/>
    </row>
    <row r="105" spans="1:9" x14ac:dyDescent="0.35">
      <c r="A105" s="5"/>
      <c r="B105" s="11" t="str">
        <f>IF(OR(A105="",Timeline!$B$4=""),"",MIN(13,MAX(1,INT((A105-Timeline!$B$4)/7)+1)))</f>
        <v/>
      </c>
      <c r="C105" s="5"/>
      <c r="D105" s="5"/>
      <c r="E105" s="5"/>
      <c r="F105" s="9"/>
      <c r="G105" s="5"/>
      <c r="H105" s="5"/>
      <c r="I105" s="5"/>
    </row>
    <row r="106" spans="1:9" x14ac:dyDescent="0.35">
      <c r="A106" s="5"/>
      <c r="B106" s="11" t="str">
        <f>IF(OR(A106="",Timeline!$B$4=""),"",MIN(13,MAX(1,INT((A106-Timeline!$B$4)/7)+1)))</f>
        <v/>
      </c>
      <c r="C106" s="5"/>
      <c r="D106" s="5"/>
      <c r="E106" s="5"/>
      <c r="F106" s="9"/>
      <c r="G106" s="5"/>
      <c r="H106" s="5"/>
      <c r="I106" s="5"/>
    </row>
    <row r="107" spans="1:9" x14ac:dyDescent="0.35">
      <c r="A107" s="5"/>
      <c r="B107" s="11" t="str">
        <f>IF(OR(A107="",Timeline!$B$4=""),"",MIN(13,MAX(1,INT((A107-Timeline!$B$4)/7)+1)))</f>
        <v/>
      </c>
      <c r="C107" s="5"/>
      <c r="D107" s="5"/>
      <c r="E107" s="5"/>
      <c r="F107" s="9"/>
      <c r="G107" s="5"/>
      <c r="H107" s="5"/>
      <c r="I107" s="5"/>
    </row>
    <row r="108" spans="1:9" x14ac:dyDescent="0.35">
      <c r="A108" s="5"/>
      <c r="B108" s="11" t="str">
        <f>IF(OR(A108="",Timeline!$B$4=""),"",MIN(13,MAX(1,INT((A108-Timeline!$B$4)/7)+1)))</f>
        <v/>
      </c>
      <c r="C108" s="5"/>
      <c r="D108" s="5"/>
      <c r="E108" s="5"/>
      <c r="F108" s="9"/>
      <c r="G108" s="5"/>
      <c r="H108" s="5"/>
      <c r="I108" s="5"/>
    </row>
    <row r="109" spans="1:9" x14ac:dyDescent="0.35">
      <c r="A109" s="5"/>
      <c r="B109" s="11" t="str">
        <f>IF(OR(A109="",Timeline!$B$4=""),"",MIN(13,MAX(1,INT((A109-Timeline!$B$4)/7)+1)))</f>
        <v/>
      </c>
      <c r="C109" s="5"/>
      <c r="D109" s="5"/>
      <c r="E109" s="5"/>
      <c r="F109" s="9"/>
      <c r="G109" s="5"/>
      <c r="H109" s="5"/>
      <c r="I109" s="5"/>
    </row>
    <row r="110" spans="1:9" x14ac:dyDescent="0.35">
      <c r="A110" s="5"/>
      <c r="B110" s="11" t="str">
        <f>IF(OR(A110="",Timeline!$B$4=""),"",MIN(13,MAX(1,INT((A110-Timeline!$B$4)/7)+1)))</f>
        <v/>
      </c>
      <c r="C110" s="5"/>
      <c r="D110" s="5"/>
      <c r="E110" s="5"/>
      <c r="F110" s="9"/>
      <c r="G110" s="5"/>
      <c r="H110" s="5"/>
      <c r="I110" s="5"/>
    </row>
    <row r="111" spans="1:9" x14ac:dyDescent="0.35">
      <c r="A111" s="5"/>
      <c r="B111" s="11" t="str">
        <f>IF(OR(A111="",Timeline!$B$4=""),"",MIN(13,MAX(1,INT((A111-Timeline!$B$4)/7)+1)))</f>
        <v/>
      </c>
      <c r="C111" s="5"/>
      <c r="D111" s="5"/>
      <c r="E111" s="5"/>
      <c r="F111" s="9"/>
      <c r="G111" s="5"/>
      <c r="H111" s="5"/>
      <c r="I111" s="5"/>
    </row>
    <row r="112" spans="1:9" x14ac:dyDescent="0.35">
      <c r="A112" s="5"/>
      <c r="B112" s="11" t="str">
        <f>IF(OR(A112="",Timeline!$B$4=""),"",MIN(13,MAX(1,INT((A112-Timeline!$B$4)/7)+1)))</f>
        <v/>
      </c>
      <c r="C112" s="5"/>
      <c r="D112" s="5"/>
      <c r="E112" s="5"/>
      <c r="F112" s="9"/>
      <c r="G112" s="5"/>
      <c r="H112" s="5"/>
      <c r="I112" s="5"/>
    </row>
    <row r="113" spans="1:9" x14ac:dyDescent="0.35">
      <c r="A113" s="5"/>
      <c r="B113" s="11" t="str">
        <f>IF(OR(A113="",Timeline!$B$4=""),"",MIN(13,MAX(1,INT((A113-Timeline!$B$4)/7)+1)))</f>
        <v/>
      </c>
      <c r="C113" s="5"/>
      <c r="D113" s="5"/>
      <c r="E113" s="5"/>
      <c r="F113" s="9"/>
      <c r="G113" s="5"/>
      <c r="H113" s="5"/>
      <c r="I113" s="5"/>
    </row>
    <row r="114" spans="1:9" x14ac:dyDescent="0.35">
      <c r="A114" s="5"/>
      <c r="B114" s="11" t="str">
        <f>IF(OR(A114="",Timeline!$B$4=""),"",MIN(13,MAX(1,INT((A114-Timeline!$B$4)/7)+1)))</f>
        <v/>
      </c>
      <c r="C114" s="5"/>
      <c r="D114" s="5"/>
      <c r="E114" s="5"/>
      <c r="F114" s="9"/>
      <c r="G114" s="5"/>
      <c r="H114" s="5"/>
      <c r="I114" s="5"/>
    </row>
    <row r="115" spans="1:9" x14ac:dyDescent="0.35">
      <c r="A115" s="5"/>
      <c r="B115" s="11" t="str">
        <f>IF(OR(A115="",Timeline!$B$4=""),"",MIN(13,MAX(1,INT((A115-Timeline!$B$4)/7)+1)))</f>
        <v/>
      </c>
      <c r="C115" s="5"/>
      <c r="D115" s="5"/>
      <c r="E115" s="5"/>
      <c r="F115" s="9"/>
      <c r="G115" s="5"/>
      <c r="H115" s="5"/>
      <c r="I115" s="5"/>
    </row>
    <row r="116" spans="1:9" x14ac:dyDescent="0.35">
      <c r="A116" s="5"/>
      <c r="B116" s="11" t="str">
        <f>IF(OR(A116="",Timeline!$B$4=""),"",MIN(13,MAX(1,INT((A116-Timeline!$B$4)/7)+1)))</f>
        <v/>
      </c>
      <c r="C116" s="5"/>
      <c r="D116" s="5"/>
      <c r="E116" s="5"/>
      <c r="F116" s="9"/>
      <c r="G116" s="5"/>
      <c r="H116" s="5"/>
      <c r="I116" s="5"/>
    </row>
    <row r="117" spans="1:9" x14ac:dyDescent="0.35">
      <c r="A117" s="5"/>
      <c r="B117" s="11" t="str">
        <f>IF(OR(A117="",Timeline!$B$4=""),"",MIN(13,MAX(1,INT((A117-Timeline!$B$4)/7)+1)))</f>
        <v/>
      </c>
      <c r="C117" s="5"/>
      <c r="D117" s="5"/>
      <c r="E117" s="5"/>
      <c r="F117" s="9"/>
      <c r="G117" s="5"/>
      <c r="H117" s="5"/>
      <c r="I117" s="5"/>
    </row>
    <row r="118" spans="1:9" x14ac:dyDescent="0.35">
      <c r="A118" s="5"/>
      <c r="B118" s="11" t="str">
        <f>IF(OR(A118="",Timeline!$B$4=""),"",MIN(13,MAX(1,INT((A118-Timeline!$B$4)/7)+1)))</f>
        <v/>
      </c>
      <c r="C118" s="5"/>
      <c r="D118" s="5"/>
      <c r="E118" s="5"/>
      <c r="F118" s="9"/>
      <c r="G118" s="5"/>
      <c r="H118" s="5"/>
      <c r="I118" s="5"/>
    </row>
    <row r="119" spans="1:9" x14ac:dyDescent="0.35">
      <c r="A119" s="5"/>
      <c r="B119" s="11" t="str">
        <f>IF(OR(A119="",Timeline!$B$4=""),"",MIN(13,MAX(1,INT((A119-Timeline!$B$4)/7)+1)))</f>
        <v/>
      </c>
      <c r="C119" s="5"/>
      <c r="D119" s="5"/>
      <c r="E119" s="5"/>
      <c r="F119" s="9"/>
      <c r="G119" s="5"/>
      <c r="H119" s="5"/>
      <c r="I119" s="5"/>
    </row>
    <row r="120" spans="1:9" x14ac:dyDescent="0.35">
      <c r="A120" s="5"/>
      <c r="B120" s="11" t="str">
        <f>IF(OR(A120="",Timeline!$B$4=""),"",MIN(13,MAX(1,INT((A120-Timeline!$B$4)/7)+1)))</f>
        <v/>
      </c>
      <c r="C120" s="5"/>
      <c r="D120" s="5"/>
      <c r="E120" s="5"/>
      <c r="F120" s="9"/>
      <c r="G120" s="5"/>
      <c r="H120" s="5"/>
      <c r="I120" s="5"/>
    </row>
    <row r="121" spans="1:9" x14ac:dyDescent="0.35">
      <c r="A121" s="5"/>
      <c r="B121" s="11" t="str">
        <f>IF(OR(A121="",Timeline!$B$4=""),"",MIN(13,MAX(1,INT((A121-Timeline!$B$4)/7)+1)))</f>
        <v/>
      </c>
      <c r="C121" s="5"/>
      <c r="D121" s="5"/>
      <c r="E121" s="5"/>
      <c r="F121" s="9"/>
      <c r="G121" s="5"/>
      <c r="H121" s="5"/>
      <c r="I121" s="5"/>
    </row>
    <row r="122" spans="1:9" x14ac:dyDescent="0.35">
      <c r="A122" s="5"/>
      <c r="B122" s="11" t="str">
        <f>IF(OR(A122="",Timeline!$B$4=""),"",MIN(13,MAX(1,INT((A122-Timeline!$B$4)/7)+1)))</f>
        <v/>
      </c>
      <c r="C122" s="5"/>
      <c r="D122" s="5"/>
      <c r="E122" s="5"/>
      <c r="F122" s="9"/>
      <c r="G122" s="5"/>
      <c r="H122" s="5"/>
      <c r="I122" s="5"/>
    </row>
    <row r="123" spans="1:9" x14ac:dyDescent="0.35">
      <c r="A123" s="5"/>
      <c r="B123" s="11" t="str">
        <f>IF(OR(A123="",Timeline!$B$4=""),"",MIN(13,MAX(1,INT((A123-Timeline!$B$4)/7)+1)))</f>
        <v/>
      </c>
      <c r="C123" s="5"/>
      <c r="D123" s="5"/>
      <c r="E123" s="5"/>
      <c r="F123" s="9"/>
      <c r="G123" s="5"/>
      <c r="H123" s="5"/>
      <c r="I123" s="5"/>
    </row>
    <row r="124" spans="1:9" x14ac:dyDescent="0.35">
      <c r="A124" s="5"/>
      <c r="B124" s="11" t="str">
        <f>IF(OR(A124="",Timeline!$B$4=""),"",MIN(13,MAX(1,INT((A124-Timeline!$B$4)/7)+1)))</f>
        <v/>
      </c>
      <c r="C124" s="5"/>
      <c r="D124" s="5"/>
      <c r="E124" s="5"/>
      <c r="F124" s="9"/>
      <c r="G124" s="5"/>
      <c r="H124" s="5"/>
      <c r="I124" s="5"/>
    </row>
    <row r="125" spans="1:9" x14ac:dyDescent="0.35">
      <c r="A125" s="5"/>
      <c r="B125" s="11" t="str">
        <f>IF(OR(A125="",Timeline!$B$4=""),"",MIN(13,MAX(1,INT((A125-Timeline!$B$4)/7)+1)))</f>
        <v/>
      </c>
      <c r="C125" s="5"/>
      <c r="D125" s="5"/>
      <c r="E125" s="5"/>
      <c r="F125" s="9"/>
      <c r="G125" s="5"/>
      <c r="H125" s="5"/>
      <c r="I125" s="5"/>
    </row>
    <row r="126" spans="1:9" x14ac:dyDescent="0.35">
      <c r="A126" s="5"/>
      <c r="B126" s="11" t="str">
        <f>IF(OR(A126="",Timeline!$B$4=""),"",MIN(13,MAX(1,INT((A126-Timeline!$B$4)/7)+1)))</f>
        <v/>
      </c>
      <c r="C126" s="5"/>
      <c r="D126" s="5"/>
      <c r="E126" s="5"/>
      <c r="F126" s="9"/>
      <c r="G126" s="5"/>
      <c r="H126" s="5"/>
      <c r="I126" s="5"/>
    </row>
    <row r="127" spans="1:9" x14ac:dyDescent="0.35">
      <c r="A127" s="5"/>
      <c r="B127" s="11" t="str">
        <f>IF(OR(A127="",Timeline!$B$4=""),"",MIN(13,MAX(1,INT((A127-Timeline!$B$4)/7)+1)))</f>
        <v/>
      </c>
      <c r="C127" s="5"/>
      <c r="D127" s="5"/>
      <c r="E127" s="5"/>
      <c r="F127" s="9"/>
      <c r="G127" s="5"/>
      <c r="H127" s="5"/>
      <c r="I127" s="5"/>
    </row>
    <row r="128" spans="1:9" x14ac:dyDescent="0.35">
      <c r="A128" s="5"/>
      <c r="B128" s="11" t="str">
        <f>IF(OR(A128="",Timeline!$B$4=""),"",MIN(13,MAX(1,INT((A128-Timeline!$B$4)/7)+1)))</f>
        <v/>
      </c>
      <c r="C128" s="5"/>
      <c r="D128" s="5"/>
      <c r="E128" s="5"/>
      <c r="F128" s="9"/>
      <c r="G128" s="5"/>
      <c r="H128" s="5"/>
      <c r="I128" s="5"/>
    </row>
    <row r="129" spans="1:9" x14ac:dyDescent="0.35">
      <c r="A129" s="5"/>
      <c r="B129" s="11" t="str">
        <f>IF(OR(A129="",Timeline!$B$4=""),"",MIN(13,MAX(1,INT((A129-Timeline!$B$4)/7)+1)))</f>
        <v/>
      </c>
      <c r="C129" s="5"/>
      <c r="D129" s="5"/>
      <c r="E129" s="5"/>
      <c r="F129" s="9"/>
      <c r="G129" s="5"/>
      <c r="H129" s="5"/>
      <c r="I129" s="5"/>
    </row>
    <row r="130" spans="1:9" x14ac:dyDescent="0.35">
      <c r="A130" s="5"/>
      <c r="B130" s="11" t="str">
        <f>IF(OR(A130="",Timeline!$B$4=""),"",MIN(13,MAX(1,INT((A130-Timeline!$B$4)/7)+1)))</f>
        <v/>
      </c>
      <c r="C130" s="5"/>
      <c r="D130" s="5"/>
      <c r="E130" s="5"/>
      <c r="F130" s="9"/>
      <c r="G130" s="5"/>
      <c r="H130" s="5"/>
      <c r="I130" s="5"/>
    </row>
    <row r="131" spans="1:9" x14ac:dyDescent="0.35">
      <c r="A131" s="5"/>
      <c r="B131" s="11" t="str">
        <f>IF(OR(A131="",Timeline!$B$4=""),"",MIN(13,MAX(1,INT((A131-Timeline!$B$4)/7)+1)))</f>
        <v/>
      </c>
      <c r="C131" s="5"/>
      <c r="D131" s="5"/>
      <c r="E131" s="5"/>
      <c r="F131" s="9"/>
      <c r="G131" s="5"/>
      <c r="H131" s="5"/>
      <c r="I131" s="5"/>
    </row>
    <row r="132" spans="1:9" x14ac:dyDescent="0.35">
      <c r="A132" s="5"/>
      <c r="B132" s="11" t="str">
        <f>IF(OR(A132="",Timeline!$B$4=""),"",MIN(13,MAX(1,INT((A132-Timeline!$B$4)/7)+1)))</f>
        <v/>
      </c>
      <c r="C132" s="5"/>
      <c r="D132" s="5"/>
      <c r="E132" s="5"/>
      <c r="F132" s="9"/>
      <c r="G132" s="5"/>
      <c r="H132" s="5"/>
      <c r="I132" s="5"/>
    </row>
    <row r="133" spans="1:9" x14ac:dyDescent="0.35">
      <c r="A133" s="5"/>
      <c r="B133" s="11" t="str">
        <f>IF(OR(A133="",Timeline!$B$4=""),"",MIN(13,MAX(1,INT((A133-Timeline!$B$4)/7)+1)))</f>
        <v/>
      </c>
      <c r="C133" s="5"/>
      <c r="D133" s="5"/>
      <c r="E133" s="5"/>
      <c r="F133" s="9"/>
      <c r="G133" s="5"/>
      <c r="H133" s="5"/>
      <c r="I133" s="5"/>
    </row>
    <row r="134" spans="1:9" x14ac:dyDescent="0.35">
      <c r="A134" s="5"/>
      <c r="B134" s="11" t="str">
        <f>IF(OR(A134="",Timeline!$B$4=""),"",MIN(13,MAX(1,INT((A134-Timeline!$B$4)/7)+1)))</f>
        <v/>
      </c>
      <c r="C134" s="5"/>
      <c r="D134" s="5"/>
      <c r="E134" s="5"/>
      <c r="F134" s="9"/>
      <c r="G134" s="5"/>
      <c r="H134" s="5"/>
      <c r="I134" s="5"/>
    </row>
    <row r="135" spans="1:9" x14ac:dyDescent="0.35">
      <c r="A135" s="5"/>
      <c r="B135" s="11" t="str">
        <f>IF(OR(A135="",Timeline!$B$4=""),"",MIN(13,MAX(1,INT((A135-Timeline!$B$4)/7)+1)))</f>
        <v/>
      </c>
      <c r="C135" s="5"/>
      <c r="D135" s="5"/>
      <c r="E135" s="5"/>
      <c r="F135" s="9"/>
      <c r="G135" s="5"/>
      <c r="H135" s="5"/>
      <c r="I135" s="5"/>
    </row>
    <row r="136" spans="1:9" x14ac:dyDescent="0.35">
      <c r="A136" s="5"/>
      <c r="B136" s="11" t="str">
        <f>IF(OR(A136="",Timeline!$B$4=""),"",MIN(13,MAX(1,INT((A136-Timeline!$B$4)/7)+1)))</f>
        <v/>
      </c>
      <c r="C136" s="5"/>
      <c r="D136" s="5"/>
      <c r="E136" s="5"/>
      <c r="F136" s="9"/>
      <c r="G136" s="5"/>
      <c r="H136" s="5"/>
      <c r="I136" s="5"/>
    </row>
    <row r="137" spans="1:9" x14ac:dyDescent="0.35">
      <c r="A137" s="5"/>
      <c r="B137" s="11" t="str">
        <f>IF(OR(A137="",Timeline!$B$4=""),"",MIN(13,MAX(1,INT((A137-Timeline!$B$4)/7)+1)))</f>
        <v/>
      </c>
      <c r="C137" s="5"/>
      <c r="D137" s="5"/>
      <c r="E137" s="5"/>
      <c r="F137" s="9"/>
      <c r="G137" s="5"/>
      <c r="H137" s="5"/>
      <c r="I137" s="5"/>
    </row>
    <row r="138" spans="1:9" x14ac:dyDescent="0.35">
      <c r="A138" s="5"/>
      <c r="B138" s="11" t="str">
        <f>IF(OR(A138="",Timeline!$B$4=""),"",MIN(13,MAX(1,INT((A138-Timeline!$B$4)/7)+1)))</f>
        <v/>
      </c>
      <c r="C138" s="5"/>
      <c r="D138" s="5"/>
      <c r="E138" s="5"/>
      <c r="F138" s="9"/>
      <c r="G138" s="5"/>
      <c r="H138" s="5"/>
      <c r="I138" s="5"/>
    </row>
    <row r="139" spans="1:9" x14ac:dyDescent="0.35">
      <c r="A139" s="5"/>
      <c r="B139" s="11" t="str">
        <f>IF(OR(A139="",Timeline!$B$4=""),"",MIN(13,MAX(1,INT((A139-Timeline!$B$4)/7)+1)))</f>
        <v/>
      </c>
      <c r="C139" s="5"/>
      <c r="D139" s="5"/>
      <c r="E139" s="5"/>
      <c r="F139" s="9"/>
      <c r="G139" s="5"/>
      <c r="H139" s="5"/>
      <c r="I139" s="5"/>
    </row>
    <row r="140" spans="1:9" x14ac:dyDescent="0.35">
      <c r="A140" s="5"/>
      <c r="B140" s="11" t="str">
        <f>IF(OR(A140="",Timeline!$B$4=""),"",MIN(13,MAX(1,INT((A140-Timeline!$B$4)/7)+1)))</f>
        <v/>
      </c>
      <c r="C140" s="5"/>
      <c r="D140" s="5"/>
      <c r="E140" s="5"/>
      <c r="F140" s="9"/>
      <c r="G140" s="5"/>
      <c r="H140" s="5"/>
      <c r="I140" s="5"/>
    </row>
    <row r="141" spans="1:9" x14ac:dyDescent="0.35">
      <c r="A141" s="5"/>
      <c r="B141" s="11" t="str">
        <f>IF(OR(A141="",Timeline!$B$4=""),"",MIN(13,MAX(1,INT((A141-Timeline!$B$4)/7)+1)))</f>
        <v/>
      </c>
      <c r="C141" s="5"/>
      <c r="D141" s="5"/>
      <c r="E141" s="5"/>
      <c r="F141" s="9"/>
      <c r="G141" s="5"/>
      <c r="H141" s="5"/>
      <c r="I141" s="5"/>
    </row>
    <row r="142" spans="1:9" x14ac:dyDescent="0.35">
      <c r="A142" s="5"/>
      <c r="B142" s="11" t="str">
        <f>IF(OR(A142="",Timeline!$B$4=""),"",MIN(13,MAX(1,INT((A142-Timeline!$B$4)/7)+1)))</f>
        <v/>
      </c>
      <c r="C142" s="5"/>
      <c r="D142" s="5"/>
      <c r="E142" s="5"/>
      <c r="F142" s="9"/>
      <c r="G142" s="5"/>
      <c r="H142" s="5"/>
      <c r="I142" s="5"/>
    </row>
    <row r="143" spans="1:9" x14ac:dyDescent="0.35">
      <c r="A143" s="5"/>
      <c r="B143" s="11" t="str">
        <f>IF(OR(A143="",Timeline!$B$4=""),"",MIN(13,MAX(1,INT((A143-Timeline!$B$4)/7)+1)))</f>
        <v/>
      </c>
      <c r="C143" s="5"/>
      <c r="D143" s="5"/>
      <c r="E143" s="5"/>
      <c r="F143" s="9"/>
      <c r="G143" s="5"/>
      <c r="H143" s="5"/>
      <c r="I143" s="5"/>
    </row>
    <row r="144" spans="1:9" x14ac:dyDescent="0.35">
      <c r="A144" s="5"/>
      <c r="B144" s="11" t="str">
        <f>IF(OR(A144="",Timeline!$B$4=""),"",MIN(13,MAX(1,INT((A144-Timeline!$B$4)/7)+1)))</f>
        <v/>
      </c>
      <c r="C144" s="5"/>
      <c r="D144" s="5"/>
      <c r="E144" s="5"/>
      <c r="F144" s="9"/>
      <c r="G144" s="5"/>
      <c r="H144" s="5"/>
      <c r="I144" s="5"/>
    </row>
    <row r="145" spans="1:9" x14ac:dyDescent="0.35">
      <c r="A145" s="5"/>
      <c r="B145" s="11" t="str">
        <f>IF(OR(A145="",Timeline!$B$4=""),"",MIN(13,MAX(1,INT((A145-Timeline!$B$4)/7)+1)))</f>
        <v/>
      </c>
      <c r="C145" s="5"/>
      <c r="D145" s="5"/>
      <c r="E145" s="5"/>
      <c r="F145" s="9"/>
      <c r="G145" s="5"/>
      <c r="H145" s="5"/>
      <c r="I145" s="5"/>
    </row>
    <row r="146" spans="1:9" x14ac:dyDescent="0.35">
      <c r="A146" s="5"/>
      <c r="B146" s="11" t="str">
        <f>IF(OR(A146="",Timeline!$B$4=""),"",MIN(13,MAX(1,INT((A146-Timeline!$B$4)/7)+1)))</f>
        <v/>
      </c>
      <c r="C146" s="5"/>
      <c r="D146" s="5"/>
      <c r="E146" s="5"/>
      <c r="F146" s="9"/>
      <c r="G146" s="5"/>
      <c r="H146" s="5"/>
      <c r="I146" s="5"/>
    </row>
    <row r="147" spans="1:9" x14ac:dyDescent="0.35">
      <c r="A147" s="5"/>
      <c r="B147" s="11" t="str">
        <f>IF(OR(A147="",Timeline!$B$4=""),"",MIN(13,MAX(1,INT((A147-Timeline!$B$4)/7)+1)))</f>
        <v/>
      </c>
      <c r="C147" s="5"/>
      <c r="D147" s="5"/>
      <c r="E147" s="5"/>
      <c r="F147" s="9"/>
      <c r="G147" s="5"/>
      <c r="H147" s="5"/>
      <c r="I147" s="5"/>
    </row>
    <row r="148" spans="1:9" x14ac:dyDescent="0.35">
      <c r="A148" s="5"/>
      <c r="B148" s="11" t="str">
        <f>IF(OR(A148="",Timeline!$B$4=""),"",MIN(13,MAX(1,INT((A148-Timeline!$B$4)/7)+1)))</f>
        <v/>
      </c>
      <c r="C148" s="5"/>
      <c r="D148" s="5"/>
      <c r="E148" s="5"/>
      <c r="F148" s="9"/>
      <c r="G148" s="5"/>
      <c r="H148" s="5"/>
      <c r="I148" s="5"/>
    </row>
    <row r="149" spans="1:9" x14ac:dyDescent="0.35">
      <c r="A149" s="5"/>
      <c r="B149" s="11" t="str">
        <f>IF(OR(A149="",Timeline!$B$4=""),"",MIN(13,MAX(1,INT((A149-Timeline!$B$4)/7)+1)))</f>
        <v/>
      </c>
      <c r="C149" s="5"/>
      <c r="D149" s="5"/>
      <c r="E149" s="5"/>
      <c r="F149" s="9"/>
      <c r="G149" s="5"/>
      <c r="H149" s="5"/>
      <c r="I149" s="5"/>
    </row>
    <row r="150" spans="1:9" x14ac:dyDescent="0.35">
      <c r="A150" s="5"/>
      <c r="B150" s="11" t="str">
        <f>IF(OR(A150="",Timeline!$B$4=""),"",MIN(13,MAX(1,INT((A150-Timeline!$B$4)/7)+1)))</f>
        <v/>
      </c>
      <c r="C150" s="5"/>
      <c r="D150" s="5"/>
      <c r="E150" s="5"/>
      <c r="F150" s="9"/>
      <c r="G150" s="5"/>
      <c r="H150" s="5"/>
      <c r="I150" s="5"/>
    </row>
    <row r="151" spans="1:9" x14ac:dyDescent="0.35">
      <c r="A151" s="5"/>
      <c r="B151" s="11" t="str">
        <f>IF(OR(A151="",Timeline!$B$4=""),"",MIN(13,MAX(1,INT((A151-Timeline!$B$4)/7)+1)))</f>
        <v/>
      </c>
      <c r="C151" s="5"/>
      <c r="D151" s="5"/>
      <c r="E151" s="5"/>
      <c r="F151" s="9"/>
      <c r="G151" s="5"/>
      <c r="H151" s="5"/>
      <c r="I151" s="5"/>
    </row>
    <row r="152" spans="1:9" x14ac:dyDescent="0.35">
      <c r="A152" s="5"/>
      <c r="B152" s="11" t="str">
        <f>IF(OR(A152="",Timeline!$B$4=""),"",MIN(13,MAX(1,INT((A152-Timeline!$B$4)/7)+1)))</f>
        <v/>
      </c>
      <c r="C152" s="5"/>
      <c r="D152" s="5"/>
      <c r="E152" s="5"/>
      <c r="F152" s="9"/>
      <c r="G152" s="5"/>
      <c r="H152" s="5"/>
      <c r="I152" s="5"/>
    </row>
    <row r="153" spans="1:9" x14ac:dyDescent="0.35">
      <c r="A153" s="5"/>
      <c r="B153" s="11" t="str">
        <f>IF(OR(A153="",Timeline!$B$4=""),"",MIN(13,MAX(1,INT((A153-Timeline!$B$4)/7)+1)))</f>
        <v/>
      </c>
      <c r="C153" s="5"/>
      <c r="D153" s="5"/>
      <c r="E153" s="5"/>
      <c r="F153" s="9"/>
      <c r="G153" s="5"/>
      <c r="H153" s="5"/>
      <c r="I153" s="5"/>
    </row>
    <row r="154" spans="1:9" x14ac:dyDescent="0.35">
      <c r="A154" s="5"/>
      <c r="B154" s="11" t="str">
        <f>IF(OR(A154="",Timeline!$B$4=""),"",MIN(13,MAX(1,INT((A154-Timeline!$B$4)/7)+1)))</f>
        <v/>
      </c>
      <c r="C154" s="5"/>
      <c r="D154" s="5"/>
      <c r="E154" s="5"/>
      <c r="F154" s="9"/>
      <c r="G154" s="5"/>
      <c r="H154" s="5"/>
      <c r="I154" s="5"/>
    </row>
    <row r="155" spans="1:9" x14ac:dyDescent="0.35">
      <c r="A155" s="5"/>
      <c r="B155" s="11" t="str">
        <f>IF(OR(A155="",Timeline!$B$4=""),"",MIN(13,MAX(1,INT((A155-Timeline!$B$4)/7)+1)))</f>
        <v/>
      </c>
      <c r="C155" s="5"/>
      <c r="D155" s="5"/>
      <c r="E155" s="5"/>
      <c r="F155" s="9"/>
      <c r="G155" s="5"/>
      <c r="H155" s="5"/>
      <c r="I155" s="5"/>
    </row>
    <row r="156" spans="1:9" x14ac:dyDescent="0.35">
      <c r="A156" s="5"/>
      <c r="B156" s="11" t="str">
        <f>IF(OR(A156="",Timeline!$B$4=""),"",MIN(13,MAX(1,INT((A156-Timeline!$B$4)/7)+1)))</f>
        <v/>
      </c>
      <c r="C156" s="5"/>
      <c r="D156" s="5"/>
      <c r="E156" s="5"/>
      <c r="F156" s="9"/>
      <c r="G156" s="5"/>
      <c r="H156" s="5"/>
      <c r="I156" s="5"/>
    </row>
    <row r="157" spans="1:9" x14ac:dyDescent="0.35">
      <c r="A157" s="5"/>
      <c r="B157" s="11" t="str">
        <f>IF(OR(A157="",Timeline!$B$4=""),"",MIN(13,MAX(1,INT((A157-Timeline!$B$4)/7)+1)))</f>
        <v/>
      </c>
      <c r="C157" s="5"/>
      <c r="D157" s="5"/>
      <c r="E157" s="5"/>
      <c r="F157" s="9"/>
      <c r="G157" s="5"/>
      <c r="H157" s="5"/>
      <c r="I157" s="5"/>
    </row>
    <row r="158" spans="1:9" x14ac:dyDescent="0.35">
      <c r="A158" s="5"/>
      <c r="B158" s="11" t="str">
        <f>IF(OR(A158="",Timeline!$B$4=""),"",MIN(13,MAX(1,INT((A158-Timeline!$B$4)/7)+1)))</f>
        <v/>
      </c>
      <c r="C158" s="5"/>
      <c r="D158" s="5"/>
      <c r="E158" s="5"/>
      <c r="F158" s="9"/>
      <c r="G158" s="5"/>
      <c r="H158" s="5"/>
      <c r="I158" s="5"/>
    </row>
    <row r="159" spans="1:9" x14ac:dyDescent="0.35">
      <c r="A159" s="5"/>
      <c r="B159" s="11" t="str">
        <f>IF(OR(A159="",Timeline!$B$4=""),"",MIN(13,MAX(1,INT((A159-Timeline!$B$4)/7)+1)))</f>
        <v/>
      </c>
      <c r="C159" s="5"/>
      <c r="D159" s="5"/>
      <c r="E159" s="5"/>
      <c r="F159" s="9"/>
      <c r="G159" s="5"/>
      <c r="H159" s="5"/>
      <c r="I159" s="5"/>
    </row>
    <row r="160" spans="1:9" x14ac:dyDescent="0.35">
      <c r="A160" s="5"/>
      <c r="B160" s="11" t="str">
        <f>IF(OR(A160="",Timeline!$B$4=""),"",MIN(13,MAX(1,INT((A160-Timeline!$B$4)/7)+1)))</f>
        <v/>
      </c>
      <c r="C160" s="5"/>
      <c r="D160" s="5"/>
      <c r="E160" s="5"/>
      <c r="F160" s="9"/>
      <c r="G160" s="5"/>
      <c r="H160" s="5"/>
      <c r="I160" s="5"/>
    </row>
    <row r="161" spans="1:9" x14ac:dyDescent="0.35">
      <c r="A161" s="5"/>
      <c r="B161" s="11" t="str">
        <f>IF(OR(A161="",Timeline!$B$4=""),"",MIN(13,MAX(1,INT((A161-Timeline!$B$4)/7)+1)))</f>
        <v/>
      </c>
      <c r="C161" s="5"/>
      <c r="D161" s="5"/>
      <c r="E161" s="5"/>
      <c r="F161" s="9"/>
      <c r="G161" s="5"/>
      <c r="H161" s="5"/>
      <c r="I161" s="5"/>
    </row>
    <row r="162" spans="1:9" x14ac:dyDescent="0.35">
      <c r="A162" s="5"/>
      <c r="B162" s="11" t="str">
        <f>IF(OR(A162="",Timeline!$B$4=""),"",MIN(13,MAX(1,INT((A162-Timeline!$B$4)/7)+1)))</f>
        <v/>
      </c>
      <c r="C162" s="5"/>
      <c r="D162" s="5"/>
      <c r="E162" s="5"/>
      <c r="F162" s="9"/>
      <c r="G162" s="5"/>
      <c r="H162" s="5"/>
      <c r="I162" s="5"/>
    </row>
    <row r="163" spans="1:9" x14ac:dyDescent="0.35">
      <c r="A163" s="5"/>
      <c r="B163" s="11" t="str">
        <f>IF(OR(A163="",Timeline!$B$4=""),"",MIN(13,MAX(1,INT((A163-Timeline!$B$4)/7)+1)))</f>
        <v/>
      </c>
      <c r="C163" s="5"/>
      <c r="D163" s="5"/>
      <c r="E163" s="5"/>
      <c r="F163" s="9"/>
      <c r="G163" s="5"/>
      <c r="H163" s="5"/>
      <c r="I163" s="5"/>
    </row>
    <row r="164" spans="1:9" x14ac:dyDescent="0.35">
      <c r="A164" s="5"/>
      <c r="B164" s="11" t="str">
        <f>IF(OR(A164="",Timeline!$B$4=""),"",MIN(13,MAX(1,INT((A164-Timeline!$B$4)/7)+1)))</f>
        <v/>
      </c>
      <c r="C164" s="5"/>
      <c r="D164" s="5"/>
      <c r="E164" s="5"/>
      <c r="F164" s="9"/>
      <c r="G164" s="5"/>
      <c r="H164" s="5"/>
      <c r="I164" s="5"/>
    </row>
    <row r="165" spans="1:9" x14ac:dyDescent="0.35">
      <c r="A165" s="5"/>
      <c r="B165" s="11" t="str">
        <f>IF(OR(A165="",Timeline!$B$4=""),"",MIN(13,MAX(1,INT((A165-Timeline!$B$4)/7)+1)))</f>
        <v/>
      </c>
      <c r="C165" s="5"/>
      <c r="D165" s="5"/>
      <c r="E165" s="5"/>
      <c r="F165" s="9"/>
      <c r="G165" s="5"/>
      <c r="H165" s="5"/>
      <c r="I165" s="5"/>
    </row>
    <row r="166" spans="1:9" x14ac:dyDescent="0.35">
      <c r="A166" s="5"/>
      <c r="B166" s="11" t="str">
        <f>IF(OR(A166="",Timeline!$B$4=""),"",MIN(13,MAX(1,INT((A166-Timeline!$B$4)/7)+1)))</f>
        <v/>
      </c>
      <c r="C166" s="5"/>
      <c r="D166" s="5"/>
      <c r="E166" s="5"/>
      <c r="F166" s="9"/>
      <c r="G166" s="5"/>
      <c r="H166" s="5"/>
      <c r="I166" s="5"/>
    </row>
    <row r="167" spans="1:9" x14ac:dyDescent="0.35">
      <c r="A167" s="5"/>
      <c r="B167" s="11" t="str">
        <f>IF(OR(A167="",Timeline!$B$4=""),"",MIN(13,MAX(1,INT((A167-Timeline!$B$4)/7)+1)))</f>
        <v/>
      </c>
      <c r="C167" s="5"/>
      <c r="D167" s="5"/>
      <c r="E167" s="5"/>
      <c r="F167" s="9"/>
      <c r="G167" s="5"/>
      <c r="H167" s="5"/>
      <c r="I167" s="5"/>
    </row>
    <row r="168" spans="1:9" x14ac:dyDescent="0.35">
      <c r="A168" s="5"/>
      <c r="B168" s="11" t="str">
        <f>IF(OR(A168="",Timeline!$B$4=""),"",MIN(13,MAX(1,INT((A168-Timeline!$B$4)/7)+1)))</f>
        <v/>
      </c>
      <c r="C168" s="5"/>
      <c r="D168" s="5"/>
      <c r="E168" s="5"/>
      <c r="F168" s="9"/>
      <c r="G168" s="5"/>
      <c r="H168" s="5"/>
      <c r="I168" s="5"/>
    </row>
    <row r="169" spans="1:9" x14ac:dyDescent="0.35">
      <c r="A169" s="5"/>
      <c r="B169" s="11" t="str">
        <f>IF(OR(A169="",Timeline!$B$4=""),"",MIN(13,MAX(1,INT((A169-Timeline!$B$4)/7)+1)))</f>
        <v/>
      </c>
      <c r="C169" s="5"/>
      <c r="D169" s="5"/>
      <c r="E169" s="5"/>
      <c r="F169" s="9"/>
      <c r="G169" s="5"/>
      <c r="H169" s="5"/>
      <c r="I169" s="5"/>
    </row>
    <row r="170" spans="1:9" x14ac:dyDescent="0.35">
      <c r="A170" s="5"/>
      <c r="B170" s="11" t="str">
        <f>IF(OR(A170="",Timeline!$B$4=""),"",MIN(13,MAX(1,INT((A170-Timeline!$B$4)/7)+1)))</f>
        <v/>
      </c>
      <c r="C170" s="5"/>
      <c r="D170" s="5"/>
      <c r="E170" s="5"/>
      <c r="F170" s="9"/>
      <c r="G170" s="5"/>
      <c r="H170" s="5"/>
      <c r="I170" s="5"/>
    </row>
    <row r="171" spans="1:9" x14ac:dyDescent="0.35">
      <c r="A171" s="5"/>
      <c r="B171" s="11" t="str">
        <f>IF(OR(A171="",Timeline!$B$4=""),"",MIN(13,MAX(1,INT((A171-Timeline!$B$4)/7)+1)))</f>
        <v/>
      </c>
      <c r="C171" s="5"/>
      <c r="D171" s="5"/>
      <c r="E171" s="5"/>
      <c r="F171" s="9"/>
      <c r="G171" s="5"/>
      <c r="H171" s="5"/>
      <c r="I171" s="5"/>
    </row>
    <row r="172" spans="1:9" x14ac:dyDescent="0.35">
      <c r="A172" s="5"/>
      <c r="B172" s="11" t="str">
        <f>IF(OR(A172="",Timeline!$B$4=""),"",MIN(13,MAX(1,INT((A172-Timeline!$B$4)/7)+1)))</f>
        <v/>
      </c>
      <c r="C172" s="5"/>
      <c r="D172" s="5"/>
      <c r="E172" s="5"/>
      <c r="F172" s="9"/>
      <c r="G172" s="5"/>
      <c r="H172" s="5"/>
      <c r="I172" s="5"/>
    </row>
    <row r="173" spans="1:9" x14ac:dyDescent="0.35">
      <c r="A173" s="5"/>
      <c r="B173" s="11" t="str">
        <f>IF(OR(A173="",Timeline!$B$4=""),"",MIN(13,MAX(1,INT((A173-Timeline!$B$4)/7)+1)))</f>
        <v/>
      </c>
      <c r="C173" s="5"/>
      <c r="D173" s="5"/>
      <c r="E173" s="5"/>
      <c r="F173" s="9"/>
      <c r="G173" s="5"/>
      <c r="H173" s="5"/>
      <c r="I173" s="5"/>
    </row>
    <row r="174" spans="1:9" x14ac:dyDescent="0.35">
      <c r="A174" s="5"/>
      <c r="B174" s="11" t="str">
        <f>IF(OR(A174="",Timeline!$B$4=""),"",MIN(13,MAX(1,INT((A174-Timeline!$B$4)/7)+1)))</f>
        <v/>
      </c>
      <c r="C174" s="5"/>
      <c r="D174" s="5"/>
      <c r="E174" s="5"/>
      <c r="F174" s="9"/>
      <c r="G174" s="5"/>
      <c r="H174" s="5"/>
      <c r="I174" s="5"/>
    </row>
    <row r="175" spans="1:9" x14ac:dyDescent="0.35">
      <c r="A175" s="5"/>
      <c r="B175" s="11" t="str">
        <f>IF(OR(A175="",Timeline!$B$4=""),"",MIN(13,MAX(1,INT((A175-Timeline!$B$4)/7)+1)))</f>
        <v/>
      </c>
      <c r="C175" s="5"/>
      <c r="D175" s="5"/>
      <c r="E175" s="5"/>
      <c r="F175" s="9"/>
      <c r="G175" s="5"/>
      <c r="H175" s="5"/>
      <c r="I175" s="5"/>
    </row>
    <row r="176" spans="1:9" x14ac:dyDescent="0.35">
      <c r="A176" s="5"/>
      <c r="B176" s="11" t="str">
        <f>IF(OR(A176="",Timeline!$B$4=""),"",MIN(13,MAX(1,INT((A176-Timeline!$B$4)/7)+1)))</f>
        <v/>
      </c>
      <c r="C176" s="5"/>
      <c r="D176" s="5"/>
      <c r="E176" s="5"/>
      <c r="F176" s="9"/>
      <c r="G176" s="5"/>
      <c r="H176" s="5"/>
      <c r="I176" s="5"/>
    </row>
    <row r="177" spans="1:9" x14ac:dyDescent="0.35">
      <c r="A177" s="5"/>
      <c r="B177" s="11" t="str">
        <f>IF(OR(A177="",Timeline!$B$4=""),"",MIN(13,MAX(1,INT((A177-Timeline!$B$4)/7)+1)))</f>
        <v/>
      </c>
      <c r="C177" s="5"/>
      <c r="D177" s="5"/>
      <c r="E177" s="5"/>
      <c r="F177" s="9"/>
      <c r="G177" s="5"/>
      <c r="H177" s="5"/>
      <c r="I177" s="5"/>
    </row>
    <row r="178" spans="1:9" x14ac:dyDescent="0.35">
      <c r="A178" s="5"/>
      <c r="B178" s="11" t="str">
        <f>IF(OR(A178="",Timeline!$B$4=""),"",MIN(13,MAX(1,INT((A178-Timeline!$B$4)/7)+1)))</f>
        <v/>
      </c>
      <c r="C178" s="5"/>
      <c r="D178" s="5"/>
      <c r="E178" s="5"/>
      <c r="F178" s="9"/>
      <c r="G178" s="5"/>
      <c r="H178" s="5"/>
      <c r="I178" s="5"/>
    </row>
    <row r="179" spans="1:9" x14ac:dyDescent="0.35">
      <c r="A179" s="5"/>
      <c r="B179" s="11" t="str">
        <f>IF(OR(A179="",Timeline!$B$4=""),"",MIN(13,MAX(1,INT((A179-Timeline!$B$4)/7)+1)))</f>
        <v/>
      </c>
      <c r="C179" s="5"/>
      <c r="D179" s="5"/>
      <c r="E179" s="5"/>
      <c r="F179" s="9"/>
      <c r="G179" s="5"/>
      <c r="H179" s="5"/>
      <c r="I179" s="5"/>
    </row>
    <row r="180" spans="1:9" x14ac:dyDescent="0.35">
      <c r="A180" s="5"/>
      <c r="B180" s="11" t="str">
        <f>IF(OR(A180="",Timeline!$B$4=""),"",MIN(13,MAX(1,INT((A180-Timeline!$B$4)/7)+1)))</f>
        <v/>
      </c>
      <c r="C180" s="5"/>
      <c r="D180" s="5"/>
      <c r="E180" s="5"/>
      <c r="F180" s="9"/>
      <c r="G180" s="5"/>
      <c r="H180" s="5"/>
      <c r="I180" s="5"/>
    </row>
    <row r="181" spans="1:9" x14ac:dyDescent="0.35">
      <c r="A181" s="5"/>
      <c r="B181" s="11" t="str">
        <f>IF(OR(A181="",Timeline!$B$4=""),"",MIN(13,MAX(1,INT((A181-Timeline!$B$4)/7)+1)))</f>
        <v/>
      </c>
      <c r="C181" s="5"/>
      <c r="D181" s="5"/>
      <c r="E181" s="5"/>
      <c r="F181" s="9"/>
      <c r="G181" s="5"/>
      <c r="H181" s="5"/>
      <c r="I181" s="5"/>
    </row>
    <row r="182" spans="1:9" x14ac:dyDescent="0.35">
      <c r="A182" s="5"/>
      <c r="B182" s="11" t="str">
        <f>IF(OR(A182="",Timeline!$B$4=""),"",MIN(13,MAX(1,INT((A182-Timeline!$B$4)/7)+1)))</f>
        <v/>
      </c>
      <c r="C182" s="5"/>
      <c r="D182" s="5"/>
      <c r="E182" s="5"/>
      <c r="F182" s="9"/>
      <c r="G182" s="5"/>
      <c r="H182" s="5"/>
      <c r="I182" s="5"/>
    </row>
    <row r="183" spans="1:9" x14ac:dyDescent="0.35">
      <c r="A183" s="5"/>
      <c r="B183" s="11" t="str">
        <f>IF(OR(A183="",Timeline!$B$4=""),"",MIN(13,MAX(1,INT((A183-Timeline!$B$4)/7)+1)))</f>
        <v/>
      </c>
      <c r="C183" s="5"/>
      <c r="D183" s="5"/>
      <c r="E183" s="5"/>
      <c r="F183" s="9"/>
      <c r="G183" s="5"/>
      <c r="H183" s="5"/>
      <c r="I183" s="5"/>
    </row>
    <row r="184" spans="1:9" x14ac:dyDescent="0.35">
      <c r="A184" s="5"/>
      <c r="B184" s="11" t="str">
        <f>IF(OR(A184="",Timeline!$B$4=""),"",MIN(13,MAX(1,INT((A184-Timeline!$B$4)/7)+1)))</f>
        <v/>
      </c>
      <c r="C184" s="5"/>
      <c r="D184" s="5"/>
      <c r="E184" s="5"/>
      <c r="F184" s="9"/>
      <c r="G184" s="5"/>
      <c r="H184" s="5"/>
      <c r="I184" s="5"/>
    </row>
    <row r="185" spans="1:9" x14ac:dyDescent="0.35">
      <c r="A185" s="5"/>
      <c r="B185" s="11" t="str">
        <f>IF(OR(A185="",Timeline!$B$4=""),"",MIN(13,MAX(1,INT((A185-Timeline!$B$4)/7)+1)))</f>
        <v/>
      </c>
      <c r="C185" s="5"/>
      <c r="D185" s="5"/>
      <c r="E185" s="5"/>
      <c r="F185" s="9"/>
      <c r="G185" s="5"/>
      <c r="H185" s="5"/>
      <c r="I185" s="5"/>
    </row>
    <row r="186" spans="1:9" x14ac:dyDescent="0.35">
      <c r="A186" s="5"/>
      <c r="B186" s="11" t="str">
        <f>IF(OR(A186="",Timeline!$B$4=""),"",MIN(13,MAX(1,INT((A186-Timeline!$B$4)/7)+1)))</f>
        <v/>
      </c>
      <c r="C186" s="5"/>
      <c r="D186" s="5"/>
      <c r="E186" s="5"/>
      <c r="F186" s="9"/>
      <c r="G186" s="5"/>
      <c r="H186" s="5"/>
      <c r="I186" s="5"/>
    </row>
    <row r="187" spans="1:9" x14ac:dyDescent="0.35">
      <c r="A187" s="5"/>
      <c r="B187" s="11" t="str">
        <f>IF(OR(A187="",Timeline!$B$4=""),"",MIN(13,MAX(1,INT((A187-Timeline!$B$4)/7)+1)))</f>
        <v/>
      </c>
      <c r="C187" s="5"/>
      <c r="D187" s="5"/>
      <c r="E187" s="5"/>
      <c r="F187" s="9"/>
      <c r="G187" s="5"/>
      <c r="H187" s="5"/>
      <c r="I187" s="5"/>
    </row>
    <row r="188" spans="1:9" x14ac:dyDescent="0.35">
      <c r="A188" s="5"/>
      <c r="B188" s="11" t="str">
        <f>IF(OR(A188="",Timeline!$B$4=""),"",MIN(13,MAX(1,INT((A188-Timeline!$B$4)/7)+1)))</f>
        <v/>
      </c>
      <c r="C188" s="5"/>
      <c r="D188" s="5"/>
      <c r="E188" s="5"/>
      <c r="F188" s="9"/>
      <c r="G188" s="5"/>
      <c r="H188" s="5"/>
      <c r="I188" s="5"/>
    </row>
    <row r="189" spans="1:9" x14ac:dyDescent="0.35">
      <c r="A189" s="5"/>
      <c r="B189" s="11" t="str">
        <f>IF(OR(A189="",Timeline!$B$4=""),"",MIN(13,MAX(1,INT((A189-Timeline!$B$4)/7)+1)))</f>
        <v/>
      </c>
      <c r="C189" s="5"/>
      <c r="D189" s="5"/>
      <c r="E189" s="5"/>
      <c r="F189" s="9"/>
      <c r="G189" s="5"/>
      <c r="H189" s="5"/>
      <c r="I189" s="5"/>
    </row>
    <row r="190" spans="1:9" x14ac:dyDescent="0.35">
      <c r="A190" s="5"/>
      <c r="B190" s="11" t="str">
        <f>IF(OR(A190="",Timeline!$B$4=""),"",MIN(13,MAX(1,INT((A190-Timeline!$B$4)/7)+1)))</f>
        <v/>
      </c>
      <c r="C190" s="5"/>
      <c r="D190" s="5"/>
      <c r="E190" s="5"/>
      <c r="F190" s="9"/>
      <c r="G190" s="5"/>
      <c r="H190" s="5"/>
      <c r="I190" s="5"/>
    </row>
    <row r="191" spans="1:9" x14ac:dyDescent="0.35">
      <c r="A191" s="5"/>
      <c r="B191" s="11" t="str">
        <f>IF(OR(A191="",Timeline!$B$4=""),"",MIN(13,MAX(1,INT((A191-Timeline!$B$4)/7)+1)))</f>
        <v/>
      </c>
      <c r="C191" s="5"/>
      <c r="D191" s="5"/>
      <c r="E191" s="5"/>
      <c r="F191" s="9"/>
      <c r="G191" s="5"/>
      <c r="H191" s="5"/>
      <c r="I191" s="5"/>
    </row>
    <row r="192" spans="1:9" x14ac:dyDescent="0.35">
      <c r="A192" s="5"/>
      <c r="B192" s="11" t="str">
        <f>IF(OR(A192="",Timeline!$B$4=""),"",MIN(13,MAX(1,INT((A192-Timeline!$B$4)/7)+1)))</f>
        <v/>
      </c>
      <c r="C192" s="5"/>
      <c r="D192" s="5"/>
      <c r="E192" s="5"/>
      <c r="F192" s="9"/>
      <c r="G192" s="5"/>
      <c r="H192" s="5"/>
      <c r="I192" s="5"/>
    </row>
    <row r="193" spans="1:9" x14ac:dyDescent="0.35">
      <c r="A193" s="5"/>
      <c r="B193" s="11" t="str">
        <f>IF(OR(A193="",Timeline!$B$4=""),"",MIN(13,MAX(1,INT((A193-Timeline!$B$4)/7)+1)))</f>
        <v/>
      </c>
      <c r="C193" s="5"/>
      <c r="D193" s="5"/>
      <c r="E193" s="5"/>
      <c r="F193" s="9"/>
      <c r="G193" s="5"/>
      <c r="H193" s="5"/>
      <c r="I193" s="5"/>
    </row>
    <row r="194" spans="1:9" x14ac:dyDescent="0.35">
      <c r="A194" s="5"/>
      <c r="B194" s="11" t="str">
        <f>IF(OR(A194="",Timeline!$B$4=""),"",MIN(13,MAX(1,INT((A194-Timeline!$B$4)/7)+1)))</f>
        <v/>
      </c>
      <c r="C194" s="5"/>
      <c r="D194" s="5"/>
      <c r="E194" s="5"/>
      <c r="F194" s="9"/>
      <c r="G194" s="5"/>
      <c r="H194" s="5"/>
      <c r="I194" s="5"/>
    </row>
    <row r="195" spans="1:9" x14ac:dyDescent="0.35">
      <c r="A195" s="5"/>
      <c r="B195" s="11" t="str">
        <f>IF(OR(A195="",Timeline!$B$4=""),"",MIN(13,MAX(1,INT((A195-Timeline!$B$4)/7)+1)))</f>
        <v/>
      </c>
      <c r="C195" s="5"/>
      <c r="D195" s="5"/>
      <c r="E195" s="5"/>
      <c r="F195" s="9"/>
      <c r="G195" s="5"/>
      <c r="H195" s="5"/>
      <c r="I195" s="5"/>
    </row>
    <row r="196" spans="1:9" x14ac:dyDescent="0.35">
      <c r="A196" s="5"/>
      <c r="B196" s="11" t="str">
        <f>IF(OR(A196="",Timeline!$B$4=""),"",MIN(13,MAX(1,INT((A196-Timeline!$B$4)/7)+1)))</f>
        <v/>
      </c>
      <c r="C196" s="5"/>
      <c r="D196" s="5"/>
      <c r="E196" s="5"/>
      <c r="F196" s="9"/>
      <c r="G196" s="5"/>
      <c r="H196" s="5"/>
      <c r="I196" s="5"/>
    </row>
    <row r="197" spans="1:9" x14ac:dyDescent="0.35">
      <c r="A197" s="5"/>
      <c r="B197" s="11" t="str">
        <f>IF(OR(A197="",Timeline!$B$4=""),"",MIN(13,MAX(1,INT((A197-Timeline!$B$4)/7)+1)))</f>
        <v/>
      </c>
      <c r="C197" s="5"/>
      <c r="D197" s="5"/>
      <c r="E197" s="5"/>
      <c r="F197" s="9"/>
      <c r="G197" s="5"/>
      <c r="H197" s="5"/>
      <c r="I197" s="5"/>
    </row>
    <row r="198" spans="1:9" x14ac:dyDescent="0.35">
      <c r="A198" s="5"/>
      <c r="B198" s="11" t="str">
        <f>IF(OR(A198="",Timeline!$B$4=""),"",MIN(13,MAX(1,INT((A198-Timeline!$B$4)/7)+1)))</f>
        <v/>
      </c>
      <c r="C198" s="5"/>
      <c r="D198" s="5"/>
      <c r="E198" s="5"/>
      <c r="F198" s="9"/>
      <c r="G198" s="5"/>
      <c r="H198" s="5"/>
      <c r="I198" s="5"/>
    </row>
    <row r="199" spans="1:9" x14ac:dyDescent="0.35">
      <c r="A199" s="5"/>
      <c r="B199" s="11" t="str">
        <f>IF(OR(A199="",Timeline!$B$4=""),"",MIN(13,MAX(1,INT((A199-Timeline!$B$4)/7)+1)))</f>
        <v/>
      </c>
      <c r="C199" s="5"/>
      <c r="D199" s="5"/>
      <c r="E199" s="5"/>
      <c r="F199" s="9"/>
      <c r="G199" s="5"/>
      <c r="H199" s="5"/>
      <c r="I199" s="5"/>
    </row>
    <row r="200" spans="1:9" x14ac:dyDescent="0.35">
      <c r="A200" s="5"/>
      <c r="B200" s="11" t="str">
        <f>IF(OR(A200="",Timeline!$B$4=""),"",MIN(13,MAX(1,INT((A200-Timeline!$B$4)/7)+1)))</f>
        <v/>
      </c>
      <c r="C200" s="5"/>
      <c r="D200" s="5"/>
      <c r="E200" s="5"/>
      <c r="F200" s="9"/>
      <c r="G200" s="5"/>
      <c r="H200" s="5"/>
      <c r="I200" s="5"/>
    </row>
    <row r="201" spans="1:9" x14ac:dyDescent="0.35">
      <c r="A201" s="5"/>
      <c r="B201" s="11" t="str">
        <f>IF(OR(A201="",Timeline!$B$4=""),"",MIN(13,MAX(1,INT((A201-Timeline!$B$4)/7)+1)))</f>
        <v/>
      </c>
      <c r="C201" s="5"/>
      <c r="D201" s="5"/>
      <c r="E201" s="5"/>
      <c r="F201" s="9"/>
      <c r="G201" s="5"/>
      <c r="H201" s="5"/>
      <c r="I201" s="5"/>
    </row>
    <row r="202" spans="1:9" x14ac:dyDescent="0.35">
      <c r="A202" s="5"/>
      <c r="B202" s="11" t="str">
        <f>IF(OR(A202="",Timeline!$B$4=""),"",MIN(13,MAX(1,INT((A202-Timeline!$B$4)/7)+1)))</f>
        <v/>
      </c>
      <c r="C202" s="5"/>
      <c r="D202" s="5"/>
      <c r="E202" s="5"/>
      <c r="F202" s="9"/>
      <c r="G202" s="5"/>
      <c r="H202" s="5"/>
      <c r="I202" s="5"/>
    </row>
    <row r="203" spans="1:9" x14ac:dyDescent="0.35">
      <c r="A203" s="5"/>
      <c r="B203" s="11" t="str">
        <f>IF(OR(A203="",Timeline!$B$4=""),"",MIN(13,MAX(1,INT((A203-Timeline!$B$4)/7)+1)))</f>
        <v/>
      </c>
      <c r="C203" s="5"/>
      <c r="D203" s="5"/>
      <c r="E203" s="5"/>
      <c r="F203" s="9"/>
      <c r="G203" s="5"/>
      <c r="H203" s="5"/>
      <c r="I203" s="5"/>
    </row>
  </sheetData>
  <dataValidations count="3">
    <dataValidation type="list" allowBlank="1" sqref="C4:C203" xr:uid="{00000000-0002-0000-0300-000000000000}">
      <formula1>"Income,Expense"</formula1>
    </dataValidation>
    <dataValidation type="list" allowBlank="1" sqref="G4:G203" xr:uid="{00000000-0002-0000-0300-000001000000}">
      <formula1>"Cash,Debit,Credit,Online,Parent Paid,Other"</formula1>
    </dataValidation>
    <dataValidation type="list" allowBlank="1" sqref="H4:H203" xr:uid="{00000000-0002-0000-0300-000002000000}">
      <formula1>"Need,Want,Mixed"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0" customWidth="1"/>
    <col min="2" max="7" width="18" customWidth="1"/>
    <col min="8" max="8" width="16" customWidth="1"/>
    <col min="9" max="9" width="36" customWidth="1"/>
  </cols>
  <sheetData>
    <row r="1" spans="1:9" ht="108" x14ac:dyDescent="0.35">
      <c r="A1" s="4" t="s">
        <v>46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28" x14ac:dyDescent="0.35">
      <c r="A3" s="7" t="s">
        <v>17</v>
      </c>
      <c r="B3" s="7" t="s">
        <v>47</v>
      </c>
      <c r="C3" s="7" t="s">
        <v>48</v>
      </c>
      <c r="D3" s="7" t="s">
        <v>49</v>
      </c>
      <c r="E3" s="7" t="s">
        <v>50</v>
      </c>
      <c r="F3" s="7" t="s">
        <v>51</v>
      </c>
      <c r="G3" s="7" t="s">
        <v>52</v>
      </c>
      <c r="H3" s="7" t="s">
        <v>53</v>
      </c>
      <c r="I3" s="7" t="s">
        <v>24</v>
      </c>
    </row>
    <row r="4" spans="1:9" x14ac:dyDescent="0.35">
      <c r="A4" s="2">
        <v>1</v>
      </c>
      <c r="B4" s="12">
        <f>SUMIFS('Budget Plan'!$E:$E,'Budget Plan'!$A:$A,"Income")</f>
        <v>0</v>
      </c>
      <c r="C4" s="12">
        <f>SUMIFS('Transaction Log'!$F:$F,'Transaction Log'!$C:$C,"Income",'Transaction Log'!$B:$B,A4)</f>
        <v>0</v>
      </c>
      <c r="D4" s="12">
        <f t="shared" ref="D4:D16" si="0">C4-B4</f>
        <v>0</v>
      </c>
      <c r="E4" s="12">
        <f>SUMIFS('Budget Plan'!$E:$E,'Budget Plan'!$A:$A,"Expense")</f>
        <v>0</v>
      </c>
      <c r="F4" s="12">
        <f>SUMIFS('Transaction Log'!$F:$F,'Transaction Log'!$C:$C,"Expense",'Transaction Log'!$B:$B,A4)</f>
        <v>0</v>
      </c>
      <c r="G4" s="12">
        <f t="shared" ref="G4:G16" si="1">F4-E4</f>
        <v>0</v>
      </c>
      <c r="H4" s="12">
        <f t="shared" ref="H4:H16" si="2">C4-F4</f>
        <v>0</v>
      </c>
      <c r="I4" s="5"/>
    </row>
    <row r="5" spans="1:9" x14ac:dyDescent="0.35">
      <c r="A5" s="2">
        <v>2</v>
      </c>
      <c r="B5" s="12">
        <f>SUMIFS('Budget Plan'!$E:$E,'Budget Plan'!$A:$A,"Income")</f>
        <v>0</v>
      </c>
      <c r="C5" s="12">
        <f>SUMIFS('Transaction Log'!$F:$F,'Transaction Log'!$C:$C,"Income",'Transaction Log'!$B:$B,A5)</f>
        <v>0</v>
      </c>
      <c r="D5" s="12">
        <f t="shared" si="0"/>
        <v>0</v>
      </c>
      <c r="E5" s="12">
        <f>SUMIFS('Budget Plan'!$E:$E,'Budget Plan'!$A:$A,"Expense")</f>
        <v>0</v>
      </c>
      <c r="F5" s="12">
        <f>SUMIFS('Transaction Log'!$F:$F,'Transaction Log'!$C:$C,"Expense",'Transaction Log'!$B:$B,A5)</f>
        <v>0</v>
      </c>
      <c r="G5" s="12">
        <f t="shared" si="1"/>
        <v>0</v>
      </c>
      <c r="H5" s="12">
        <f t="shared" si="2"/>
        <v>0</v>
      </c>
      <c r="I5" s="5"/>
    </row>
    <row r="6" spans="1:9" x14ac:dyDescent="0.35">
      <c r="A6" s="2">
        <v>3</v>
      </c>
      <c r="B6" s="12">
        <f>SUMIFS('Budget Plan'!$E:$E,'Budget Plan'!$A:$A,"Income")</f>
        <v>0</v>
      </c>
      <c r="C6" s="12">
        <f>SUMIFS('Transaction Log'!$F:$F,'Transaction Log'!$C:$C,"Income",'Transaction Log'!$B:$B,A6)</f>
        <v>0</v>
      </c>
      <c r="D6" s="12">
        <f t="shared" si="0"/>
        <v>0</v>
      </c>
      <c r="E6" s="12">
        <f>SUMIFS('Budget Plan'!$E:$E,'Budget Plan'!$A:$A,"Expense")</f>
        <v>0</v>
      </c>
      <c r="F6" s="12">
        <f>SUMIFS('Transaction Log'!$F:$F,'Transaction Log'!$C:$C,"Expense",'Transaction Log'!$B:$B,A6)</f>
        <v>0</v>
      </c>
      <c r="G6" s="12">
        <f t="shared" si="1"/>
        <v>0</v>
      </c>
      <c r="H6" s="12">
        <f t="shared" si="2"/>
        <v>0</v>
      </c>
      <c r="I6" s="5"/>
    </row>
    <row r="7" spans="1:9" x14ac:dyDescent="0.35">
      <c r="A7" s="2">
        <v>4</v>
      </c>
      <c r="B7" s="12">
        <f>SUMIFS('Budget Plan'!$E:$E,'Budget Plan'!$A:$A,"Income")</f>
        <v>0</v>
      </c>
      <c r="C7" s="12">
        <f>SUMIFS('Transaction Log'!$F:$F,'Transaction Log'!$C:$C,"Income",'Transaction Log'!$B:$B,A7)</f>
        <v>0</v>
      </c>
      <c r="D7" s="12">
        <f t="shared" si="0"/>
        <v>0</v>
      </c>
      <c r="E7" s="12">
        <f>SUMIFS('Budget Plan'!$E:$E,'Budget Plan'!$A:$A,"Expense")</f>
        <v>0</v>
      </c>
      <c r="F7" s="12">
        <f>SUMIFS('Transaction Log'!$F:$F,'Transaction Log'!$C:$C,"Expense",'Transaction Log'!$B:$B,A7)</f>
        <v>0</v>
      </c>
      <c r="G7" s="12">
        <f t="shared" si="1"/>
        <v>0</v>
      </c>
      <c r="H7" s="12">
        <f t="shared" si="2"/>
        <v>0</v>
      </c>
      <c r="I7" s="5"/>
    </row>
    <row r="8" spans="1:9" x14ac:dyDescent="0.35">
      <c r="A8" s="2">
        <v>5</v>
      </c>
      <c r="B8" s="12">
        <f>SUMIFS('Budget Plan'!$E:$E,'Budget Plan'!$A:$A,"Income")</f>
        <v>0</v>
      </c>
      <c r="C8" s="12">
        <f>SUMIFS('Transaction Log'!$F:$F,'Transaction Log'!$C:$C,"Income",'Transaction Log'!$B:$B,A8)</f>
        <v>0</v>
      </c>
      <c r="D8" s="12">
        <f t="shared" si="0"/>
        <v>0</v>
      </c>
      <c r="E8" s="12">
        <f>SUMIFS('Budget Plan'!$E:$E,'Budget Plan'!$A:$A,"Expense")</f>
        <v>0</v>
      </c>
      <c r="F8" s="12">
        <f>SUMIFS('Transaction Log'!$F:$F,'Transaction Log'!$C:$C,"Expense",'Transaction Log'!$B:$B,A8)</f>
        <v>0</v>
      </c>
      <c r="G8" s="12">
        <f t="shared" si="1"/>
        <v>0</v>
      </c>
      <c r="H8" s="12">
        <f t="shared" si="2"/>
        <v>0</v>
      </c>
      <c r="I8" s="5"/>
    </row>
    <row r="9" spans="1:9" x14ac:dyDescent="0.35">
      <c r="A9" s="2">
        <v>6</v>
      </c>
      <c r="B9" s="12">
        <f>SUMIFS('Budget Plan'!$E:$E,'Budget Plan'!$A:$A,"Income")</f>
        <v>0</v>
      </c>
      <c r="C9" s="12">
        <f>SUMIFS('Transaction Log'!$F:$F,'Transaction Log'!$C:$C,"Income",'Transaction Log'!$B:$B,A9)</f>
        <v>0</v>
      </c>
      <c r="D9" s="12">
        <f t="shared" si="0"/>
        <v>0</v>
      </c>
      <c r="E9" s="12">
        <f>SUMIFS('Budget Plan'!$E:$E,'Budget Plan'!$A:$A,"Expense")</f>
        <v>0</v>
      </c>
      <c r="F9" s="12">
        <f>SUMIFS('Transaction Log'!$F:$F,'Transaction Log'!$C:$C,"Expense",'Transaction Log'!$B:$B,A9)</f>
        <v>0</v>
      </c>
      <c r="G9" s="12">
        <f t="shared" si="1"/>
        <v>0</v>
      </c>
      <c r="H9" s="12">
        <f t="shared" si="2"/>
        <v>0</v>
      </c>
      <c r="I9" s="5"/>
    </row>
    <row r="10" spans="1:9" x14ac:dyDescent="0.35">
      <c r="A10" s="2">
        <v>7</v>
      </c>
      <c r="B10" s="12">
        <f>SUMIFS('Budget Plan'!$E:$E,'Budget Plan'!$A:$A,"Income")</f>
        <v>0</v>
      </c>
      <c r="C10" s="12">
        <f>SUMIFS('Transaction Log'!$F:$F,'Transaction Log'!$C:$C,"Income",'Transaction Log'!$B:$B,A10)</f>
        <v>0</v>
      </c>
      <c r="D10" s="12">
        <f t="shared" si="0"/>
        <v>0</v>
      </c>
      <c r="E10" s="12">
        <f>SUMIFS('Budget Plan'!$E:$E,'Budget Plan'!$A:$A,"Expense")</f>
        <v>0</v>
      </c>
      <c r="F10" s="12">
        <f>SUMIFS('Transaction Log'!$F:$F,'Transaction Log'!$C:$C,"Expense",'Transaction Log'!$B:$B,A10)</f>
        <v>0</v>
      </c>
      <c r="G10" s="12">
        <f t="shared" si="1"/>
        <v>0</v>
      </c>
      <c r="H10" s="12">
        <f t="shared" si="2"/>
        <v>0</v>
      </c>
      <c r="I10" s="5"/>
    </row>
    <row r="11" spans="1:9" x14ac:dyDescent="0.35">
      <c r="A11" s="2">
        <v>8</v>
      </c>
      <c r="B11" s="12">
        <f>SUMIFS('Budget Plan'!$E:$E,'Budget Plan'!$A:$A,"Income")</f>
        <v>0</v>
      </c>
      <c r="C11" s="12">
        <f>SUMIFS('Transaction Log'!$F:$F,'Transaction Log'!$C:$C,"Income",'Transaction Log'!$B:$B,A11)</f>
        <v>0</v>
      </c>
      <c r="D11" s="12">
        <f t="shared" si="0"/>
        <v>0</v>
      </c>
      <c r="E11" s="12">
        <f>SUMIFS('Budget Plan'!$E:$E,'Budget Plan'!$A:$A,"Expense")</f>
        <v>0</v>
      </c>
      <c r="F11" s="12">
        <f>SUMIFS('Transaction Log'!$F:$F,'Transaction Log'!$C:$C,"Expense",'Transaction Log'!$B:$B,A11)</f>
        <v>0</v>
      </c>
      <c r="G11" s="12">
        <f t="shared" si="1"/>
        <v>0</v>
      </c>
      <c r="H11" s="12">
        <f t="shared" si="2"/>
        <v>0</v>
      </c>
      <c r="I11" s="5"/>
    </row>
    <row r="12" spans="1:9" x14ac:dyDescent="0.35">
      <c r="A12" s="2">
        <v>9</v>
      </c>
      <c r="B12" s="12">
        <f>SUMIFS('Budget Plan'!$E:$E,'Budget Plan'!$A:$A,"Income")</f>
        <v>0</v>
      </c>
      <c r="C12" s="12">
        <f>SUMIFS('Transaction Log'!$F:$F,'Transaction Log'!$C:$C,"Income",'Transaction Log'!$B:$B,A12)</f>
        <v>0</v>
      </c>
      <c r="D12" s="12">
        <f t="shared" si="0"/>
        <v>0</v>
      </c>
      <c r="E12" s="12">
        <f>SUMIFS('Budget Plan'!$E:$E,'Budget Plan'!$A:$A,"Expense")</f>
        <v>0</v>
      </c>
      <c r="F12" s="12">
        <f>SUMIFS('Transaction Log'!$F:$F,'Transaction Log'!$C:$C,"Expense",'Transaction Log'!$B:$B,A12)</f>
        <v>0</v>
      </c>
      <c r="G12" s="12">
        <f t="shared" si="1"/>
        <v>0</v>
      </c>
      <c r="H12" s="12">
        <f t="shared" si="2"/>
        <v>0</v>
      </c>
      <c r="I12" s="5"/>
    </row>
    <row r="13" spans="1:9" x14ac:dyDescent="0.35">
      <c r="A13" s="2">
        <v>10</v>
      </c>
      <c r="B13" s="12">
        <f>SUMIFS('Budget Plan'!$E:$E,'Budget Plan'!$A:$A,"Income")</f>
        <v>0</v>
      </c>
      <c r="C13" s="12">
        <f>SUMIFS('Transaction Log'!$F:$F,'Transaction Log'!$C:$C,"Income",'Transaction Log'!$B:$B,A13)</f>
        <v>0</v>
      </c>
      <c r="D13" s="12">
        <f t="shared" si="0"/>
        <v>0</v>
      </c>
      <c r="E13" s="12">
        <f>SUMIFS('Budget Plan'!$E:$E,'Budget Plan'!$A:$A,"Expense")</f>
        <v>0</v>
      </c>
      <c r="F13" s="12">
        <f>SUMIFS('Transaction Log'!$F:$F,'Transaction Log'!$C:$C,"Expense",'Transaction Log'!$B:$B,A13)</f>
        <v>0</v>
      </c>
      <c r="G13" s="12">
        <f t="shared" si="1"/>
        <v>0</v>
      </c>
      <c r="H13" s="12">
        <f t="shared" si="2"/>
        <v>0</v>
      </c>
      <c r="I13" s="5"/>
    </row>
    <row r="14" spans="1:9" x14ac:dyDescent="0.35">
      <c r="A14" s="2">
        <v>11</v>
      </c>
      <c r="B14" s="12">
        <f>SUMIFS('Budget Plan'!$E:$E,'Budget Plan'!$A:$A,"Income")</f>
        <v>0</v>
      </c>
      <c r="C14" s="12">
        <f>SUMIFS('Transaction Log'!$F:$F,'Transaction Log'!$C:$C,"Income",'Transaction Log'!$B:$B,A14)</f>
        <v>0</v>
      </c>
      <c r="D14" s="12">
        <f t="shared" si="0"/>
        <v>0</v>
      </c>
      <c r="E14" s="12">
        <f>SUMIFS('Budget Plan'!$E:$E,'Budget Plan'!$A:$A,"Expense")</f>
        <v>0</v>
      </c>
      <c r="F14" s="12">
        <f>SUMIFS('Transaction Log'!$F:$F,'Transaction Log'!$C:$C,"Expense",'Transaction Log'!$B:$B,A14)</f>
        <v>0</v>
      </c>
      <c r="G14" s="12">
        <f t="shared" si="1"/>
        <v>0</v>
      </c>
      <c r="H14" s="12">
        <f t="shared" si="2"/>
        <v>0</v>
      </c>
      <c r="I14" s="5"/>
    </row>
    <row r="15" spans="1:9" x14ac:dyDescent="0.35">
      <c r="A15" s="2">
        <v>12</v>
      </c>
      <c r="B15" s="12">
        <f>SUMIFS('Budget Plan'!$E:$E,'Budget Plan'!$A:$A,"Income")</f>
        <v>0</v>
      </c>
      <c r="C15" s="12">
        <f>SUMIFS('Transaction Log'!$F:$F,'Transaction Log'!$C:$C,"Income",'Transaction Log'!$B:$B,A15)</f>
        <v>0</v>
      </c>
      <c r="D15" s="12">
        <f t="shared" si="0"/>
        <v>0</v>
      </c>
      <c r="E15" s="12">
        <f>SUMIFS('Budget Plan'!$E:$E,'Budget Plan'!$A:$A,"Expense")</f>
        <v>0</v>
      </c>
      <c r="F15" s="12">
        <f>SUMIFS('Transaction Log'!$F:$F,'Transaction Log'!$C:$C,"Expense",'Transaction Log'!$B:$B,A15)</f>
        <v>0</v>
      </c>
      <c r="G15" s="12">
        <f t="shared" si="1"/>
        <v>0</v>
      </c>
      <c r="H15" s="12">
        <f t="shared" si="2"/>
        <v>0</v>
      </c>
      <c r="I15" s="5"/>
    </row>
    <row r="16" spans="1:9" x14ac:dyDescent="0.35">
      <c r="A16" s="2">
        <v>13</v>
      </c>
      <c r="B16" s="12">
        <f>SUMIFS('Budget Plan'!$E:$E,'Budget Plan'!$A:$A,"Income")</f>
        <v>0</v>
      </c>
      <c r="C16" s="12">
        <f>SUMIFS('Transaction Log'!$F:$F,'Transaction Log'!$C:$C,"Income",'Transaction Log'!$B:$B,A16)</f>
        <v>0</v>
      </c>
      <c r="D16" s="12">
        <f t="shared" si="0"/>
        <v>0</v>
      </c>
      <c r="E16" s="12">
        <f>SUMIFS('Budget Plan'!$E:$E,'Budget Plan'!$A:$A,"Expense")</f>
        <v>0</v>
      </c>
      <c r="F16" s="12">
        <f>SUMIFS('Transaction Log'!$F:$F,'Transaction Log'!$C:$C,"Expense",'Transaction Log'!$B:$B,A16)</f>
        <v>0</v>
      </c>
      <c r="G16" s="12">
        <f t="shared" si="1"/>
        <v>0</v>
      </c>
      <c r="H16" s="12">
        <f t="shared" si="2"/>
        <v>0</v>
      </c>
      <c r="I16" s="5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ht="28" x14ac:dyDescent="0.35">
      <c r="A18" s="3" t="s">
        <v>54</v>
      </c>
      <c r="B18" s="13">
        <f t="shared" ref="B18:H18" si="3">SUM(B4:B16)</f>
        <v>0</v>
      </c>
      <c r="C18" s="13">
        <f t="shared" si="3"/>
        <v>0</v>
      </c>
      <c r="D18" s="13">
        <f t="shared" si="3"/>
        <v>0</v>
      </c>
      <c r="E18" s="13">
        <f t="shared" si="3"/>
        <v>0</v>
      </c>
      <c r="F18" s="13">
        <f t="shared" si="3"/>
        <v>0</v>
      </c>
      <c r="G18" s="13">
        <f t="shared" si="3"/>
        <v>0</v>
      </c>
      <c r="H18" s="13">
        <f t="shared" si="3"/>
        <v>0</v>
      </c>
      <c r="I18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0" customWidth="1"/>
    <col min="2" max="2" width="24" customWidth="1"/>
    <col min="3" max="3" width="14" customWidth="1"/>
    <col min="4" max="5" width="32" customWidth="1"/>
    <col min="6" max="6" width="14" customWidth="1"/>
    <col min="7" max="7" width="38" customWidth="1"/>
  </cols>
  <sheetData>
    <row r="1" spans="1:7" ht="54" x14ac:dyDescent="0.35">
      <c r="A1" s="4" t="s">
        <v>55</v>
      </c>
      <c r="B1" s="2"/>
      <c r="C1" s="2"/>
      <c r="D1" s="2"/>
      <c r="E1" s="2"/>
      <c r="F1" s="2"/>
      <c r="G1" s="2"/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3" t="s">
        <v>56</v>
      </c>
      <c r="B3" s="5"/>
      <c r="C3" s="2"/>
      <c r="D3" s="2"/>
      <c r="E3" s="2"/>
      <c r="F3" s="2"/>
      <c r="G3" s="2"/>
    </row>
    <row r="4" spans="1:7" x14ac:dyDescent="0.35">
      <c r="A4" s="3" t="s">
        <v>57</v>
      </c>
      <c r="B4" s="5"/>
      <c r="C4" s="2"/>
      <c r="D4" s="2"/>
      <c r="E4" s="2"/>
      <c r="F4" s="2"/>
      <c r="G4" s="2"/>
    </row>
    <row r="5" spans="1:7" ht="28" x14ac:dyDescent="0.35">
      <c r="A5" s="3" t="s">
        <v>58</v>
      </c>
      <c r="B5" s="5"/>
      <c r="C5" s="2"/>
      <c r="D5" s="2"/>
      <c r="E5" s="2"/>
      <c r="F5" s="2"/>
      <c r="G5" s="2"/>
    </row>
    <row r="6" spans="1:7" x14ac:dyDescent="0.35">
      <c r="A6" s="3" t="s">
        <v>59</v>
      </c>
      <c r="B6" s="9">
        <v>0</v>
      </c>
      <c r="C6" s="2"/>
      <c r="D6" s="2"/>
      <c r="E6" s="2"/>
      <c r="F6" s="2"/>
      <c r="G6" s="2"/>
    </row>
    <row r="7" spans="1:7" ht="28" x14ac:dyDescent="0.35">
      <c r="A7" s="3" t="s">
        <v>60</v>
      </c>
      <c r="B7" s="9">
        <v>0</v>
      </c>
      <c r="C7" s="2"/>
      <c r="D7" s="2"/>
      <c r="E7" s="2"/>
      <c r="F7" s="2"/>
      <c r="G7" s="2"/>
    </row>
    <row r="8" spans="1:7" ht="28" x14ac:dyDescent="0.35">
      <c r="A8" s="3" t="s">
        <v>61</v>
      </c>
      <c r="B8" s="9">
        <v>0</v>
      </c>
      <c r="C8" s="2"/>
      <c r="D8" s="2"/>
      <c r="E8" s="2"/>
      <c r="F8" s="2"/>
      <c r="G8" s="2"/>
    </row>
    <row r="9" spans="1:7" x14ac:dyDescent="0.35">
      <c r="A9" s="3" t="s">
        <v>62</v>
      </c>
      <c r="B9" s="14" t="str">
        <f>IF(B8&lt;=0,"",ROUNDUP(MAX(B6-B7,0)/B8,0))</f>
        <v/>
      </c>
      <c r="C9" s="2"/>
      <c r="D9" s="2"/>
      <c r="E9" s="2"/>
      <c r="F9" s="2"/>
      <c r="G9" s="2"/>
    </row>
    <row r="10" spans="1:7" ht="28" x14ac:dyDescent="0.35">
      <c r="A10" s="3" t="s">
        <v>63</v>
      </c>
      <c r="B10" s="5"/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7" t="s">
        <v>64</v>
      </c>
      <c r="B13" s="7" t="s">
        <v>65</v>
      </c>
      <c r="C13" s="7" t="s">
        <v>66</v>
      </c>
      <c r="D13" s="7" t="s">
        <v>67</v>
      </c>
      <c r="E13" s="7" t="s">
        <v>68</v>
      </c>
      <c r="F13" s="7" t="s">
        <v>45</v>
      </c>
      <c r="G13" s="7" t="s">
        <v>69</v>
      </c>
    </row>
    <row r="14" spans="1:7" x14ac:dyDescent="0.35">
      <c r="A14" s="5"/>
      <c r="B14" s="5"/>
      <c r="C14" s="9"/>
      <c r="D14" s="5"/>
      <c r="E14" s="5"/>
      <c r="F14" s="5"/>
      <c r="G14" s="5"/>
    </row>
    <row r="15" spans="1:7" x14ac:dyDescent="0.35">
      <c r="A15" s="5"/>
      <c r="B15" s="5"/>
      <c r="C15" s="9"/>
      <c r="D15" s="5"/>
      <c r="E15" s="5"/>
      <c r="F15" s="5"/>
      <c r="G15" s="5"/>
    </row>
    <row r="16" spans="1:7" x14ac:dyDescent="0.35">
      <c r="A16" s="5"/>
      <c r="B16" s="5"/>
      <c r="C16" s="9"/>
      <c r="D16" s="5"/>
      <c r="E16" s="5"/>
      <c r="F16" s="5"/>
      <c r="G16" s="5"/>
    </row>
    <row r="17" spans="1:7" x14ac:dyDescent="0.35">
      <c r="A17" s="5"/>
      <c r="B17" s="5"/>
      <c r="C17" s="9"/>
      <c r="D17" s="5"/>
      <c r="E17" s="5"/>
      <c r="F17" s="5"/>
      <c r="G17" s="5"/>
    </row>
    <row r="18" spans="1:7" x14ac:dyDescent="0.35">
      <c r="A18" s="5"/>
      <c r="B18" s="5"/>
      <c r="C18" s="9"/>
      <c r="D18" s="5"/>
      <c r="E18" s="5"/>
      <c r="F18" s="5"/>
      <c r="G18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80" customWidth="1"/>
  </cols>
  <sheetData>
    <row r="1" spans="1:2" ht="36" x14ac:dyDescent="0.35">
      <c r="A1" s="4" t="s">
        <v>70</v>
      </c>
      <c r="B1" s="2"/>
    </row>
    <row r="2" spans="1:2" x14ac:dyDescent="0.35">
      <c r="A2" s="2"/>
      <c r="B2" s="2"/>
    </row>
    <row r="3" spans="1:2" x14ac:dyDescent="0.35">
      <c r="A3" s="15" t="s">
        <v>71</v>
      </c>
      <c r="B3" s="15" t="s">
        <v>72</v>
      </c>
    </row>
    <row r="4" spans="1:2" ht="54" customHeight="1" x14ac:dyDescent="0.35">
      <c r="A4" s="2" t="s">
        <v>73</v>
      </c>
      <c r="B4" s="5"/>
    </row>
    <row r="5" spans="1:2" ht="54" customHeight="1" x14ac:dyDescent="0.35">
      <c r="A5" s="2" t="s">
        <v>74</v>
      </c>
      <c r="B5" s="5"/>
    </row>
    <row r="6" spans="1:2" ht="54" customHeight="1" x14ac:dyDescent="0.35">
      <c r="A6" s="2" t="s">
        <v>75</v>
      </c>
      <c r="B6" s="5"/>
    </row>
    <row r="7" spans="1:2" ht="54" customHeight="1" x14ac:dyDescent="0.35">
      <c r="A7" s="2" t="s">
        <v>76</v>
      </c>
      <c r="B7" s="5"/>
    </row>
    <row r="8" spans="1:2" ht="54" customHeight="1" x14ac:dyDescent="0.35">
      <c r="A8" s="2" t="s">
        <v>77</v>
      </c>
      <c r="B8" s="5"/>
    </row>
    <row r="9" spans="1:2" ht="54" customHeight="1" x14ac:dyDescent="0.35">
      <c r="A9" s="2" t="s">
        <v>78</v>
      </c>
      <c r="B9" s="5"/>
    </row>
    <row r="10" spans="1:2" ht="54" customHeight="1" x14ac:dyDescent="0.35">
      <c r="A10" s="2" t="s">
        <v>79</v>
      </c>
      <c r="B10" s="5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Timeline</vt:lpstr>
      <vt:lpstr>Budget Plan</vt:lpstr>
      <vt:lpstr>Transaction Log</vt:lpstr>
      <vt:lpstr>Weekly Summary</vt:lpstr>
      <vt:lpstr>Major Purchase Plan</vt:lpstr>
      <vt:lpstr>Final Reflection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Roberts</cp:lastModifiedBy>
  <dcterms:created xsi:type="dcterms:W3CDTF">2026-06-08T01:06:10Z</dcterms:created>
  <dcterms:modified xsi:type="dcterms:W3CDTF">2026-06-08T01:08:46Z</dcterms:modified>
</cp:coreProperties>
</file>