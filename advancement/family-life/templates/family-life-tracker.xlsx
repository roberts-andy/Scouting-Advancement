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rc\scouts\merit-bagdges\family-life\templates\"/>
    </mc:Choice>
  </mc:AlternateContent>
  <xr:revisionPtr revIDLastSave="0" documentId="13_ncr:1_{1E9A9D35-8A9C-4838-A4C7-ED699EF64F9B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Instructions" sheetId="1" r:id="rId1"/>
    <sheet name="Timeline" sheetId="2" r:id="rId2"/>
    <sheet name="Home Responsibility Tracker" sheetId="3" r:id="rId3"/>
    <sheet name="Family Meeting Log" sheetId="4" r:id="rId4"/>
    <sheet name="Project Planner" sheetId="5" r:id="rId5"/>
    <sheet name="Discussion Prep" sheetId="6" r:id="rId6"/>
    <sheet name="Final Reflect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5" l="1"/>
  <c r="B30" i="5" s="1"/>
  <c r="B108" i="3"/>
  <c r="B107" i="3"/>
  <c r="A103" i="3"/>
  <c r="B103" i="3" s="1"/>
  <c r="A102" i="3"/>
  <c r="B102" i="3" s="1"/>
  <c r="A101" i="3"/>
  <c r="B101" i="3" s="1"/>
  <c r="A100" i="3"/>
  <c r="B100" i="3" s="1"/>
  <c r="A99" i="3"/>
  <c r="B99" i="3" s="1"/>
  <c r="A98" i="3"/>
  <c r="B98" i="3" s="1"/>
  <c r="A97" i="3"/>
  <c r="B97" i="3" s="1"/>
  <c r="A96" i="3"/>
  <c r="B96" i="3" s="1"/>
  <c r="A95" i="3"/>
  <c r="B95" i="3" s="1"/>
  <c r="A94" i="3"/>
  <c r="B94" i="3" s="1"/>
  <c r="A93" i="3"/>
  <c r="B93" i="3" s="1"/>
  <c r="A92" i="3"/>
  <c r="B92" i="3" s="1"/>
  <c r="A91" i="3"/>
  <c r="B91" i="3" s="1"/>
  <c r="A90" i="3"/>
  <c r="B90" i="3" s="1"/>
  <c r="A89" i="3"/>
  <c r="B89" i="3" s="1"/>
  <c r="A88" i="3"/>
  <c r="B88" i="3" s="1"/>
  <c r="A87" i="3"/>
  <c r="B87" i="3" s="1"/>
  <c r="A86" i="3"/>
  <c r="B86" i="3" s="1"/>
  <c r="A85" i="3"/>
  <c r="B85" i="3" s="1"/>
  <c r="A84" i="3"/>
  <c r="B84" i="3" s="1"/>
  <c r="A83" i="3"/>
  <c r="B83" i="3" s="1"/>
  <c r="A82" i="3"/>
  <c r="B82" i="3" s="1"/>
  <c r="A81" i="3"/>
  <c r="B81" i="3" s="1"/>
  <c r="A80" i="3"/>
  <c r="B80" i="3" s="1"/>
  <c r="A79" i="3"/>
  <c r="B79" i="3" s="1"/>
  <c r="A78" i="3"/>
  <c r="B78" i="3" s="1"/>
  <c r="A77" i="3"/>
  <c r="B77" i="3" s="1"/>
  <c r="A76" i="3"/>
  <c r="B76" i="3" s="1"/>
  <c r="A75" i="3"/>
  <c r="B75" i="3" s="1"/>
  <c r="A74" i="3"/>
  <c r="B74" i="3" s="1"/>
  <c r="A73" i="3"/>
  <c r="B73" i="3" s="1"/>
  <c r="A72" i="3"/>
  <c r="B72" i="3" s="1"/>
  <c r="A71" i="3"/>
  <c r="B71" i="3" s="1"/>
  <c r="A70" i="3"/>
  <c r="B70" i="3" s="1"/>
  <c r="A69" i="3"/>
  <c r="B69" i="3" s="1"/>
  <c r="A68" i="3"/>
  <c r="B68" i="3" s="1"/>
  <c r="A67" i="3"/>
  <c r="B67" i="3" s="1"/>
  <c r="A66" i="3"/>
  <c r="B66" i="3" s="1"/>
  <c r="A65" i="3"/>
  <c r="B65" i="3" s="1"/>
  <c r="A64" i="3"/>
  <c r="B64" i="3" s="1"/>
  <c r="A63" i="3"/>
  <c r="B63" i="3" s="1"/>
  <c r="A62" i="3"/>
  <c r="B62" i="3" s="1"/>
  <c r="A61" i="3"/>
  <c r="B61" i="3" s="1"/>
  <c r="A60" i="3"/>
  <c r="B60" i="3" s="1"/>
  <c r="A59" i="3"/>
  <c r="B59" i="3" s="1"/>
  <c r="A58" i="3"/>
  <c r="B58" i="3" s="1"/>
  <c r="A57" i="3"/>
  <c r="B57" i="3" s="1"/>
  <c r="A56" i="3"/>
  <c r="B56" i="3" s="1"/>
  <c r="A55" i="3"/>
  <c r="B55" i="3" s="1"/>
  <c r="A54" i="3"/>
  <c r="B54" i="3" s="1"/>
  <c r="A53" i="3"/>
  <c r="B53" i="3" s="1"/>
  <c r="A52" i="3"/>
  <c r="B52" i="3" s="1"/>
  <c r="A51" i="3"/>
  <c r="B51" i="3" s="1"/>
  <c r="A50" i="3"/>
  <c r="B50" i="3" s="1"/>
  <c r="A49" i="3"/>
  <c r="B49" i="3" s="1"/>
  <c r="A48" i="3"/>
  <c r="B48" i="3" s="1"/>
  <c r="A47" i="3"/>
  <c r="B47" i="3" s="1"/>
  <c r="A46" i="3"/>
  <c r="B46" i="3" s="1"/>
  <c r="A45" i="3"/>
  <c r="B45" i="3" s="1"/>
  <c r="A44" i="3"/>
  <c r="B44" i="3" s="1"/>
  <c r="A43" i="3"/>
  <c r="B43" i="3" s="1"/>
  <c r="A42" i="3"/>
  <c r="B42" i="3" s="1"/>
  <c r="A41" i="3"/>
  <c r="B41" i="3" s="1"/>
  <c r="A40" i="3"/>
  <c r="B40" i="3" s="1"/>
  <c r="A39" i="3"/>
  <c r="B39" i="3" s="1"/>
  <c r="A38" i="3"/>
  <c r="B38" i="3" s="1"/>
  <c r="A37" i="3"/>
  <c r="B37" i="3" s="1"/>
  <c r="A36" i="3"/>
  <c r="B36" i="3" s="1"/>
  <c r="A35" i="3"/>
  <c r="B35" i="3" s="1"/>
  <c r="A34" i="3"/>
  <c r="B34" i="3" s="1"/>
  <c r="A33" i="3"/>
  <c r="B33" i="3" s="1"/>
  <c r="A32" i="3"/>
  <c r="B32" i="3" s="1"/>
  <c r="A31" i="3"/>
  <c r="B31" i="3" s="1"/>
  <c r="A30" i="3"/>
  <c r="B30" i="3" s="1"/>
  <c r="A29" i="3"/>
  <c r="B29" i="3" s="1"/>
  <c r="A28" i="3"/>
  <c r="B28" i="3" s="1"/>
  <c r="A27" i="3"/>
  <c r="B27" i="3" s="1"/>
  <c r="A26" i="3"/>
  <c r="B26" i="3" s="1"/>
  <c r="A25" i="3"/>
  <c r="B25" i="3" s="1"/>
  <c r="A24" i="3"/>
  <c r="B24" i="3" s="1"/>
  <c r="A23" i="3"/>
  <c r="B23" i="3" s="1"/>
  <c r="A22" i="3"/>
  <c r="B22" i="3" s="1"/>
  <c r="A21" i="3"/>
  <c r="B21" i="3" s="1"/>
  <c r="A20" i="3"/>
  <c r="B20" i="3" s="1"/>
  <c r="A19" i="3"/>
  <c r="B19" i="3" s="1"/>
  <c r="A18" i="3"/>
  <c r="B18" i="3" s="1"/>
  <c r="A17" i="3"/>
  <c r="B17" i="3" s="1"/>
  <c r="A16" i="3"/>
  <c r="B16" i="3" s="1"/>
  <c r="A15" i="3"/>
  <c r="B15" i="3" s="1"/>
  <c r="A14" i="3"/>
  <c r="B14" i="3" s="1"/>
  <c r="A13" i="3"/>
  <c r="B13" i="3" s="1"/>
  <c r="A12" i="3"/>
  <c r="B12" i="3" s="1"/>
  <c r="A11" i="3"/>
  <c r="B11" i="3" s="1"/>
  <c r="A10" i="3"/>
  <c r="B10" i="3" s="1"/>
  <c r="A9" i="3"/>
  <c r="B9" i="3" s="1"/>
  <c r="A8" i="3"/>
  <c r="B8" i="3" s="1"/>
  <c r="A7" i="3"/>
  <c r="B7" i="3" s="1"/>
  <c r="A6" i="3"/>
  <c r="B6" i="3" s="1"/>
  <c r="A5" i="3"/>
  <c r="B5" i="3" s="1"/>
  <c r="A4" i="3"/>
  <c r="B6" i="2"/>
  <c r="B4" i="3" l="1"/>
  <c r="B10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B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Enter the first day of the home responsibility tracking period.</t>
        </r>
      </text>
    </comment>
  </commentList>
</comments>
</file>

<file path=xl/sharedStrings.xml><?xml version="1.0" encoding="utf-8"?>
<sst xmlns="http://schemas.openxmlformats.org/spreadsheetml/2006/main" count="70" uniqueCount="68">
  <si>
    <t>Family Life Merit Badge Counseling Workbook</t>
  </si>
  <si>
    <t>Purpose</t>
  </si>
  <si>
    <t>Track the long-running home responsibility work, family discussions, family project planning, and final reflection.</t>
  </si>
  <si>
    <t>Official requirements</t>
  </si>
  <si>
    <t>Use the current official merit badge pamphlet and official requirements as the source of truth. This workbook supports counseling and does not replace the requirements.</t>
  </si>
  <si>
    <t>Counselor expectation</t>
  </si>
  <si>
    <t>The scout should be able to explain what they did, how they contributed to family life, and what changed through the process.</t>
  </si>
  <si>
    <t>How to use</t>
  </si>
  <si>
    <t>Fill in Timeline, track responsibilities regularly, log family meetings, plan and execute the family project, then prepare discussion notes before final review.</t>
  </si>
  <si>
    <t>Scout and Timeline</t>
  </si>
  <si>
    <t>Scout name</t>
  </si>
  <si>
    <t>Kickoff date</t>
  </si>
  <si>
    <t>Long-running responsibility start date</t>
  </si>
  <si>
    <t>Target completion date</t>
  </si>
  <si>
    <t>Counselor</t>
  </si>
  <si>
    <t>Family project title</t>
  </si>
  <si>
    <t>Home Responsibility Tracker</t>
  </si>
  <si>
    <t>Date</t>
  </si>
  <si>
    <t>Week #</t>
  </si>
  <si>
    <t>Responsibility / Chore</t>
  </si>
  <si>
    <t>Planned?</t>
  </si>
  <si>
    <t>Completed?</t>
  </si>
  <si>
    <t>Time Spent (min)</t>
  </si>
  <si>
    <t>What I learned / notes</t>
  </si>
  <si>
    <t>Parent initials</t>
  </si>
  <si>
    <t>Summary</t>
  </si>
  <si>
    <t>Days marked complete or partial</t>
  </si>
  <si>
    <t>Total minutes recorded</t>
  </si>
  <si>
    <t>Completion rate</t>
  </si>
  <si>
    <t>Family Meeting Log</t>
  </si>
  <si>
    <t>Meeting Date</t>
  </si>
  <si>
    <t>Who attended</t>
  </si>
  <si>
    <t>Topic / decision</t>
  </si>
  <si>
    <t>My contribution</t>
  </si>
  <si>
    <t>Follow-up action</t>
  </si>
  <si>
    <t>Status</t>
  </si>
  <si>
    <t>Family Project Planner</t>
  </si>
  <si>
    <t>Project goal</t>
  </si>
  <si>
    <t>Why this helps the family</t>
  </si>
  <si>
    <t>Planned start date</t>
  </si>
  <si>
    <t>Planned finish date</t>
  </si>
  <si>
    <t>Actual finish date</t>
  </si>
  <si>
    <t>Materials / resources needed</t>
  </si>
  <si>
    <t>How success will be measured</t>
  </si>
  <si>
    <t>Task</t>
  </si>
  <si>
    <t>Owner</t>
  </si>
  <si>
    <t>Due Date</t>
  </si>
  <si>
    <t>Notes</t>
  </si>
  <si>
    <t>Tasks done</t>
  </si>
  <si>
    <t>Open tasks</t>
  </si>
  <si>
    <t>Discussion Prep</t>
  </si>
  <si>
    <t>Topic area</t>
  </si>
  <si>
    <t>Scout notes</t>
  </si>
  <si>
    <t>Counselor follow-up questions</t>
  </si>
  <si>
    <t>Roles and responsibilities in a family</t>
  </si>
  <si>
    <t>How families make decisions</t>
  </si>
  <si>
    <t>Communication and conflict resolution</t>
  </si>
  <si>
    <t>Helping at home without being asked</t>
  </si>
  <si>
    <t>Family project lessons</t>
  </si>
  <si>
    <t>Balancing individual wants and family needs</t>
  </si>
  <si>
    <t>Final Reflection</t>
  </si>
  <si>
    <t>Prompt</t>
  </si>
  <si>
    <t>What did you learn about being dependable at home?</t>
  </si>
  <si>
    <t>What changed in how you communicate with family members?</t>
  </si>
  <si>
    <t>What part of the family project mattered most?</t>
  </si>
  <si>
    <t>Where did you struggle to follow through?</t>
  </si>
  <si>
    <t>What habit do you want to keep?</t>
  </si>
  <si>
    <t>What would you do differently next time?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</si>
</sst>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b/>
      <sz val="11"/>
      <name val="Arial"/>
    </font>
    <font>
      <sz val="11"/>
      <color rgb="FF0000FF"/>
      <name val="Arial"/>
    </font>
    <font>
      <sz val="11"/>
      <color rgb="FF000000"/>
      <name val="Arial"/>
    </font>
    <font>
      <b/>
      <sz val="11"/>
      <color rgb="FFFFFFFF"/>
      <name val="Arial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14" fontId="3" fillId="2" borderId="1" xfId="0" applyNumberFormat="1" applyFont="1" applyFill="1" applyBorder="1" applyAlignment="1">
      <alignment vertical="top" wrapText="1"/>
    </xf>
    <xf numFmtId="14" fontId="4" fillId="0" borderId="1" xfId="0" applyNumberFormat="1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  <xf numFmtId="14" fontId="6" fillId="0" borderId="1" xfId="0" applyNumberFormat="1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showGridLines="0" tabSelected="1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4" customWidth="1"/>
    <col min="2" max="2" width="110" customWidth="1"/>
  </cols>
  <sheetData>
    <row r="1" spans="1:2" ht="54" x14ac:dyDescent="0.35">
      <c r="A1" s="1" t="s">
        <v>0</v>
      </c>
      <c r="B1" s="2"/>
    </row>
    <row r="2" spans="1:2" x14ac:dyDescent="0.35">
      <c r="A2" s="2"/>
      <c r="B2" s="2"/>
    </row>
    <row r="3" spans="1:2" x14ac:dyDescent="0.35">
      <c r="A3" s="3" t="s">
        <v>1</v>
      </c>
      <c r="B3" s="2" t="s">
        <v>2</v>
      </c>
    </row>
    <row r="4" spans="1:2" ht="29" x14ac:dyDescent="0.35">
      <c r="A4" s="3" t="s">
        <v>3</v>
      </c>
      <c r="B4" s="2" t="s">
        <v>4</v>
      </c>
    </row>
    <row r="5" spans="1:2" x14ac:dyDescent="0.35">
      <c r="A5" s="3" t="s">
        <v>5</v>
      </c>
      <c r="B5" s="2" t="s">
        <v>6</v>
      </c>
    </row>
    <row r="6" spans="1:2" ht="29" x14ac:dyDescent="0.35">
      <c r="A6" s="3" t="s">
        <v>7</v>
      </c>
      <c r="B6" s="2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4" customWidth="1"/>
    <col min="2" max="2" width="36" customWidth="1"/>
  </cols>
  <sheetData>
    <row r="1" spans="1:2" ht="18" x14ac:dyDescent="0.35">
      <c r="A1" s="1" t="s">
        <v>9</v>
      </c>
      <c r="B1" s="2"/>
    </row>
    <row r="2" spans="1:2" x14ac:dyDescent="0.35">
      <c r="A2" s="2"/>
      <c r="B2" s="2"/>
    </row>
    <row r="3" spans="1:2" x14ac:dyDescent="0.35">
      <c r="A3" s="3" t="s">
        <v>10</v>
      </c>
      <c r="B3" s="4"/>
    </row>
    <row r="4" spans="1:2" x14ac:dyDescent="0.35">
      <c r="A4" s="3" t="s">
        <v>11</v>
      </c>
      <c r="B4" s="4"/>
    </row>
    <row r="5" spans="1:2" ht="28" x14ac:dyDescent="0.35">
      <c r="A5" s="3" t="s">
        <v>12</v>
      </c>
      <c r="B5" s="5"/>
    </row>
    <row r="6" spans="1:2" x14ac:dyDescent="0.35">
      <c r="A6" s="3" t="s">
        <v>13</v>
      </c>
      <c r="B6" s="6" t="str">
        <f>IF(B5="","",B5+90)</f>
        <v/>
      </c>
    </row>
    <row r="7" spans="1:2" x14ac:dyDescent="0.35">
      <c r="A7" s="3" t="s">
        <v>14</v>
      </c>
      <c r="B7" s="4"/>
    </row>
    <row r="8" spans="1:2" x14ac:dyDescent="0.35">
      <c r="A8" s="3" t="s">
        <v>15</v>
      </c>
      <c r="B8" s="4"/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9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4" customWidth="1"/>
    <col min="2" max="2" width="10" customWidth="1"/>
    <col min="3" max="3" width="30" customWidth="1"/>
    <col min="4" max="4" width="12" customWidth="1"/>
    <col min="5" max="5" width="14" customWidth="1"/>
    <col min="6" max="6" width="16" customWidth="1"/>
    <col min="7" max="7" width="50" customWidth="1"/>
    <col min="8" max="8" width="16" customWidth="1"/>
  </cols>
  <sheetData>
    <row r="1" spans="1:8" ht="72" x14ac:dyDescent="0.35">
      <c r="A1" s="1" t="s">
        <v>16</v>
      </c>
      <c r="B1" s="2"/>
      <c r="C1" s="2"/>
      <c r="D1" s="2"/>
      <c r="E1" s="2"/>
      <c r="F1" s="2"/>
      <c r="G1" s="2"/>
      <c r="H1" s="2"/>
    </row>
    <row r="2" spans="1:8" x14ac:dyDescent="0.35">
      <c r="A2" s="2"/>
      <c r="B2" s="2"/>
      <c r="C2" s="2"/>
      <c r="D2" s="2"/>
      <c r="E2" s="2"/>
      <c r="F2" s="2"/>
      <c r="G2" s="2"/>
      <c r="H2" s="2"/>
    </row>
    <row r="3" spans="1:8" ht="28" x14ac:dyDescent="0.35">
      <c r="A3" s="7" t="s">
        <v>17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24</v>
      </c>
    </row>
    <row r="4" spans="1:8" x14ac:dyDescent="0.35">
      <c r="A4" s="8" t="str">
        <f>IF(Timeline!$B$5="","",Timeline!$B$5+ROW()-4)</f>
        <v/>
      </c>
      <c r="B4" s="2" t="str">
        <f>IF(A4="","",INT((A4-Timeline!$B$5)/7)+1)</f>
        <v/>
      </c>
      <c r="C4" s="4"/>
      <c r="D4" s="4"/>
      <c r="E4" s="4"/>
      <c r="F4" s="4"/>
      <c r="G4" s="4"/>
      <c r="H4" s="4"/>
    </row>
    <row r="5" spans="1:8" x14ac:dyDescent="0.35">
      <c r="A5" s="8" t="str">
        <f>IF(Timeline!$B$5="","",Timeline!$B$5+ROW()-4)</f>
        <v/>
      </c>
      <c r="B5" s="2" t="str">
        <f>IF(A5="","",INT((A5-Timeline!$B$5)/7)+1)</f>
        <v/>
      </c>
      <c r="C5" s="4"/>
      <c r="D5" s="4"/>
      <c r="E5" s="4"/>
      <c r="F5" s="4"/>
      <c r="G5" s="4"/>
      <c r="H5" s="4"/>
    </row>
    <row r="6" spans="1:8" x14ac:dyDescent="0.35">
      <c r="A6" s="8" t="str">
        <f>IF(Timeline!$B$5="","",Timeline!$B$5+ROW()-4)</f>
        <v/>
      </c>
      <c r="B6" s="2" t="str">
        <f>IF(A6="","",INT((A6-Timeline!$B$5)/7)+1)</f>
        <v/>
      </c>
      <c r="C6" s="4"/>
      <c r="D6" s="4"/>
      <c r="E6" s="4"/>
      <c r="F6" s="4"/>
      <c r="G6" s="4"/>
      <c r="H6" s="4"/>
    </row>
    <row r="7" spans="1:8" x14ac:dyDescent="0.35">
      <c r="A7" s="8" t="str">
        <f>IF(Timeline!$B$5="","",Timeline!$B$5+ROW()-4)</f>
        <v/>
      </c>
      <c r="B7" s="2" t="str">
        <f>IF(A7="","",INT((A7-Timeline!$B$5)/7)+1)</f>
        <v/>
      </c>
      <c r="C7" s="4"/>
      <c r="D7" s="4"/>
      <c r="E7" s="4"/>
      <c r="F7" s="4"/>
      <c r="G7" s="4"/>
      <c r="H7" s="4"/>
    </row>
    <row r="8" spans="1:8" x14ac:dyDescent="0.35">
      <c r="A8" s="8" t="str">
        <f>IF(Timeline!$B$5="","",Timeline!$B$5+ROW()-4)</f>
        <v/>
      </c>
      <c r="B8" s="2" t="str">
        <f>IF(A8="","",INT((A8-Timeline!$B$5)/7)+1)</f>
        <v/>
      </c>
      <c r="C8" s="4"/>
      <c r="D8" s="4"/>
      <c r="E8" s="4"/>
      <c r="F8" s="4"/>
      <c r="G8" s="4"/>
      <c r="H8" s="4"/>
    </row>
    <row r="9" spans="1:8" x14ac:dyDescent="0.35">
      <c r="A9" s="8" t="str">
        <f>IF(Timeline!$B$5="","",Timeline!$B$5+ROW()-4)</f>
        <v/>
      </c>
      <c r="B9" s="2" t="str">
        <f>IF(A9="","",INT((A9-Timeline!$B$5)/7)+1)</f>
        <v/>
      </c>
      <c r="C9" s="4"/>
      <c r="D9" s="4"/>
      <c r="E9" s="4"/>
      <c r="F9" s="4"/>
      <c r="G9" s="4"/>
      <c r="H9" s="4"/>
    </row>
    <row r="10" spans="1:8" x14ac:dyDescent="0.35">
      <c r="A10" s="8" t="str">
        <f>IF(Timeline!$B$5="","",Timeline!$B$5+ROW()-4)</f>
        <v/>
      </c>
      <c r="B10" s="2" t="str">
        <f>IF(A10="","",INT((A10-Timeline!$B$5)/7)+1)</f>
        <v/>
      </c>
      <c r="C10" s="4"/>
      <c r="D10" s="4"/>
      <c r="E10" s="4"/>
      <c r="F10" s="4"/>
      <c r="G10" s="4"/>
      <c r="H10" s="4"/>
    </row>
    <row r="11" spans="1:8" x14ac:dyDescent="0.35">
      <c r="A11" s="8" t="str">
        <f>IF(Timeline!$B$5="","",Timeline!$B$5+ROW()-4)</f>
        <v/>
      </c>
      <c r="B11" s="2" t="str">
        <f>IF(A11="","",INT((A11-Timeline!$B$5)/7)+1)</f>
        <v/>
      </c>
      <c r="C11" s="4"/>
      <c r="D11" s="4"/>
      <c r="E11" s="4"/>
      <c r="F11" s="4"/>
      <c r="G11" s="4"/>
      <c r="H11" s="4"/>
    </row>
    <row r="12" spans="1:8" x14ac:dyDescent="0.35">
      <c r="A12" s="8" t="str">
        <f>IF(Timeline!$B$5="","",Timeline!$B$5+ROW()-4)</f>
        <v/>
      </c>
      <c r="B12" s="2" t="str">
        <f>IF(A12="","",INT((A12-Timeline!$B$5)/7)+1)</f>
        <v/>
      </c>
      <c r="C12" s="4"/>
      <c r="D12" s="4"/>
      <c r="E12" s="4"/>
      <c r="F12" s="4"/>
      <c r="G12" s="4"/>
      <c r="H12" s="4"/>
    </row>
    <row r="13" spans="1:8" x14ac:dyDescent="0.35">
      <c r="A13" s="8" t="str">
        <f>IF(Timeline!$B$5="","",Timeline!$B$5+ROW()-4)</f>
        <v/>
      </c>
      <c r="B13" s="2" t="str">
        <f>IF(A13="","",INT((A13-Timeline!$B$5)/7)+1)</f>
        <v/>
      </c>
      <c r="C13" s="4"/>
      <c r="D13" s="4"/>
      <c r="E13" s="4"/>
      <c r="F13" s="4"/>
      <c r="G13" s="4"/>
      <c r="H13" s="4"/>
    </row>
    <row r="14" spans="1:8" x14ac:dyDescent="0.35">
      <c r="A14" s="8" t="str">
        <f>IF(Timeline!$B$5="","",Timeline!$B$5+ROW()-4)</f>
        <v/>
      </c>
      <c r="B14" s="2" t="str">
        <f>IF(A14="","",INT((A14-Timeline!$B$5)/7)+1)</f>
        <v/>
      </c>
      <c r="C14" s="4"/>
      <c r="D14" s="4"/>
      <c r="E14" s="4"/>
      <c r="F14" s="4"/>
      <c r="G14" s="4"/>
      <c r="H14" s="4"/>
    </row>
    <row r="15" spans="1:8" x14ac:dyDescent="0.35">
      <c r="A15" s="8" t="str">
        <f>IF(Timeline!$B$5="","",Timeline!$B$5+ROW()-4)</f>
        <v/>
      </c>
      <c r="B15" s="2" t="str">
        <f>IF(A15="","",INT((A15-Timeline!$B$5)/7)+1)</f>
        <v/>
      </c>
      <c r="C15" s="4"/>
      <c r="D15" s="4"/>
      <c r="E15" s="4"/>
      <c r="F15" s="4"/>
      <c r="G15" s="4"/>
      <c r="H15" s="4"/>
    </row>
    <row r="16" spans="1:8" x14ac:dyDescent="0.35">
      <c r="A16" s="8" t="str">
        <f>IF(Timeline!$B$5="","",Timeline!$B$5+ROW()-4)</f>
        <v/>
      </c>
      <c r="B16" s="2" t="str">
        <f>IF(A16="","",INT((A16-Timeline!$B$5)/7)+1)</f>
        <v/>
      </c>
      <c r="C16" s="4"/>
      <c r="D16" s="4"/>
      <c r="E16" s="4"/>
      <c r="F16" s="4"/>
      <c r="G16" s="4"/>
      <c r="H16" s="4"/>
    </row>
    <row r="17" spans="1:8" x14ac:dyDescent="0.35">
      <c r="A17" s="8" t="str">
        <f>IF(Timeline!$B$5="","",Timeline!$B$5+ROW()-4)</f>
        <v/>
      </c>
      <c r="B17" s="2" t="str">
        <f>IF(A17="","",INT((A17-Timeline!$B$5)/7)+1)</f>
        <v/>
      </c>
      <c r="C17" s="4"/>
      <c r="D17" s="4"/>
      <c r="E17" s="4"/>
      <c r="F17" s="4"/>
      <c r="G17" s="4"/>
      <c r="H17" s="4"/>
    </row>
    <row r="18" spans="1:8" x14ac:dyDescent="0.35">
      <c r="A18" s="8" t="str">
        <f>IF(Timeline!$B$5="","",Timeline!$B$5+ROW()-4)</f>
        <v/>
      </c>
      <c r="B18" s="2" t="str">
        <f>IF(A18="","",INT((A18-Timeline!$B$5)/7)+1)</f>
        <v/>
      </c>
      <c r="C18" s="4"/>
      <c r="D18" s="4"/>
      <c r="E18" s="4"/>
      <c r="F18" s="4"/>
      <c r="G18" s="4"/>
      <c r="H18" s="4"/>
    </row>
    <row r="19" spans="1:8" x14ac:dyDescent="0.35">
      <c r="A19" s="8" t="str">
        <f>IF(Timeline!$B$5="","",Timeline!$B$5+ROW()-4)</f>
        <v/>
      </c>
      <c r="B19" s="2" t="str">
        <f>IF(A19="","",INT((A19-Timeline!$B$5)/7)+1)</f>
        <v/>
      </c>
      <c r="C19" s="4"/>
      <c r="D19" s="4"/>
      <c r="E19" s="4"/>
      <c r="F19" s="4"/>
      <c r="G19" s="4"/>
      <c r="H19" s="4"/>
    </row>
    <row r="20" spans="1:8" x14ac:dyDescent="0.35">
      <c r="A20" s="8" t="str">
        <f>IF(Timeline!$B$5="","",Timeline!$B$5+ROW()-4)</f>
        <v/>
      </c>
      <c r="B20" s="2" t="str">
        <f>IF(A20="","",INT((A20-Timeline!$B$5)/7)+1)</f>
        <v/>
      </c>
      <c r="C20" s="4"/>
      <c r="D20" s="4"/>
      <c r="E20" s="4"/>
      <c r="F20" s="4"/>
      <c r="G20" s="4"/>
      <c r="H20" s="4"/>
    </row>
    <row r="21" spans="1:8" x14ac:dyDescent="0.35">
      <c r="A21" s="8" t="str">
        <f>IF(Timeline!$B$5="","",Timeline!$B$5+ROW()-4)</f>
        <v/>
      </c>
      <c r="B21" s="2" t="str">
        <f>IF(A21="","",INT((A21-Timeline!$B$5)/7)+1)</f>
        <v/>
      </c>
      <c r="C21" s="4"/>
      <c r="D21" s="4"/>
      <c r="E21" s="4"/>
      <c r="F21" s="4"/>
      <c r="G21" s="4"/>
      <c r="H21" s="4"/>
    </row>
    <row r="22" spans="1:8" x14ac:dyDescent="0.35">
      <c r="A22" s="8" t="str">
        <f>IF(Timeline!$B$5="","",Timeline!$B$5+ROW()-4)</f>
        <v/>
      </c>
      <c r="B22" s="2" t="str">
        <f>IF(A22="","",INT((A22-Timeline!$B$5)/7)+1)</f>
        <v/>
      </c>
      <c r="C22" s="4"/>
      <c r="D22" s="4"/>
      <c r="E22" s="4"/>
      <c r="F22" s="4"/>
      <c r="G22" s="4"/>
      <c r="H22" s="4"/>
    </row>
    <row r="23" spans="1:8" x14ac:dyDescent="0.35">
      <c r="A23" s="8" t="str">
        <f>IF(Timeline!$B$5="","",Timeline!$B$5+ROW()-4)</f>
        <v/>
      </c>
      <c r="B23" s="2" t="str">
        <f>IF(A23="","",INT((A23-Timeline!$B$5)/7)+1)</f>
        <v/>
      </c>
      <c r="C23" s="4"/>
      <c r="D23" s="4"/>
      <c r="E23" s="4"/>
      <c r="F23" s="4"/>
      <c r="G23" s="4"/>
      <c r="H23" s="4"/>
    </row>
    <row r="24" spans="1:8" x14ac:dyDescent="0.35">
      <c r="A24" s="8" t="str">
        <f>IF(Timeline!$B$5="","",Timeline!$B$5+ROW()-4)</f>
        <v/>
      </c>
      <c r="B24" s="2" t="str">
        <f>IF(A24="","",INT((A24-Timeline!$B$5)/7)+1)</f>
        <v/>
      </c>
      <c r="C24" s="4"/>
      <c r="D24" s="4"/>
      <c r="E24" s="4"/>
      <c r="F24" s="4"/>
      <c r="G24" s="4"/>
      <c r="H24" s="4"/>
    </row>
    <row r="25" spans="1:8" x14ac:dyDescent="0.35">
      <c r="A25" s="8" t="str">
        <f>IF(Timeline!$B$5="","",Timeline!$B$5+ROW()-4)</f>
        <v/>
      </c>
      <c r="B25" s="2" t="str">
        <f>IF(A25="","",INT((A25-Timeline!$B$5)/7)+1)</f>
        <v/>
      </c>
      <c r="C25" s="4"/>
      <c r="D25" s="4"/>
      <c r="E25" s="4"/>
      <c r="F25" s="4"/>
      <c r="G25" s="4"/>
      <c r="H25" s="4"/>
    </row>
    <row r="26" spans="1:8" x14ac:dyDescent="0.35">
      <c r="A26" s="8" t="str">
        <f>IF(Timeline!$B$5="","",Timeline!$B$5+ROW()-4)</f>
        <v/>
      </c>
      <c r="B26" s="2" t="str">
        <f>IF(A26="","",INT((A26-Timeline!$B$5)/7)+1)</f>
        <v/>
      </c>
      <c r="C26" s="4"/>
      <c r="D26" s="4"/>
      <c r="E26" s="4"/>
      <c r="F26" s="4"/>
      <c r="G26" s="4"/>
      <c r="H26" s="4"/>
    </row>
    <row r="27" spans="1:8" x14ac:dyDescent="0.35">
      <c r="A27" s="8" t="str">
        <f>IF(Timeline!$B$5="","",Timeline!$B$5+ROW()-4)</f>
        <v/>
      </c>
      <c r="B27" s="2" t="str">
        <f>IF(A27="","",INT((A27-Timeline!$B$5)/7)+1)</f>
        <v/>
      </c>
      <c r="C27" s="4"/>
      <c r="D27" s="4"/>
      <c r="E27" s="4"/>
      <c r="F27" s="4"/>
      <c r="G27" s="4"/>
      <c r="H27" s="4"/>
    </row>
    <row r="28" spans="1:8" x14ac:dyDescent="0.35">
      <c r="A28" s="8" t="str">
        <f>IF(Timeline!$B$5="","",Timeline!$B$5+ROW()-4)</f>
        <v/>
      </c>
      <c r="B28" s="2" t="str">
        <f>IF(A28="","",INT((A28-Timeline!$B$5)/7)+1)</f>
        <v/>
      </c>
      <c r="C28" s="4"/>
      <c r="D28" s="4"/>
      <c r="E28" s="4"/>
      <c r="F28" s="4"/>
      <c r="G28" s="4"/>
      <c r="H28" s="4"/>
    </row>
    <row r="29" spans="1:8" x14ac:dyDescent="0.35">
      <c r="A29" s="8" t="str">
        <f>IF(Timeline!$B$5="","",Timeline!$B$5+ROW()-4)</f>
        <v/>
      </c>
      <c r="B29" s="2" t="str">
        <f>IF(A29="","",INT((A29-Timeline!$B$5)/7)+1)</f>
        <v/>
      </c>
      <c r="C29" s="4"/>
      <c r="D29" s="4"/>
      <c r="E29" s="4"/>
      <c r="F29" s="4"/>
      <c r="G29" s="4"/>
      <c r="H29" s="4"/>
    </row>
    <row r="30" spans="1:8" x14ac:dyDescent="0.35">
      <c r="A30" s="8" t="str">
        <f>IF(Timeline!$B$5="","",Timeline!$B$5+ROW()-4)</f>
        <v/>
      </c>
      <c r="B30" s="2" t="str">
        <f>IF(A30="","",INT((A30-Timeline!$B$5)/7)+1)</f>
        <v/>
      </c>
      <c r="C30" s="4"/>
      <c r="D30" s="4"/>
      <c r="E30" s="4"/>
      <c r="F30" s="4"/>
      <c r="G30" s="4"/>
      <c r="H30" s="4"/>
    </row>
    <row r="31" spans="1:8" x14ac:dyDescent="0.35">
      <c r="A31" s="8" t="str">
        <f>IF(Timeline!$B$5="","",Timeline!$B$5+ROW()-4)</f>
        <v/>
      </c>
      <c r="B31" s="2" t="str">
        <f>IF(A31="","",INT((A31-Timeline!$B$5)/7)+1)</f>
        <v/>
      </c>
      <c r="C31" s="4"/>
      <c r="D31" s="4"/>
      <c r="E31" s="4"/>
      <c r="F31" s="4"/>
      <c r="G31" s="4"/>
      <c r="H31" s="4"/>
    </row>
    <row r="32" spans="1:8" x14ac:dyDescent="0.35">
      <c r="A32" s="8" t="str">
        <f>IF(Timeline!$B$5="","",Timeline!$B$5+ROW()-4)</f>
        <v/>
      </c>
      <c r="B32" s="2" t="str">
        <f>IF(A32="","",INT((A32-Timeline!$B$5)/7)+1)</f>
        <v/>
      </c>
      <c r="C32" s="4"/>
      <c r="D32" s="4"/>
      <c r="E32" s="4"/>
      <c r="F32" s="4"/>
      <c r="G32" s="4"/>
      <c r="H32" s="4"/>
    </row>
    <row r="33" spans="1:8" x14ac:dyDescent="0.35">
      <c r="A33" s="8" t="str">
        <f>IF(Timeline!$B$5="","",Timeline!$B$5+ROW()-4)</f>
        <v/>
      </c>
      <c r="B33" s="2" t="str">
        <f>IF(A33="","",INT((A33-Timeline!$B$5)/7)+1)</f>
        <v/>
      </c>
      <c r="C33" s="4"/>
      <c r="D33" s="4"/>
      <c r="E33" s="4"/>
      <c r="F33" s="4"/>
      <c r="G33" s="4"/>
      <c r="H33" s="4"/>
    </row>
    <row r="34" spans="1:8" x14ac:dyDescent="0.35">
      <c r="A34" s="8" t="str">
        <f>IF(Timeline!$B$5="","",Timeline!$B$5+ROW()-4)</f>
        <v/>
      </c>
      <c r="B34" s="2" t="str">
        <f>IF(A34="","",INT((A34-Timeline!$B$5)/7)+1)</f>
        <v/>
      </c>
      <c r="C34" s="4"/>
      <c r="D34" s="4"/>
      <c r="E34" s="4"/>
      <c r="F34" s="4"/>
      <c r="G34" s="4"/>
      <c r="H34" s="4"/>
    </row>
    <row r="35" spans="1:8" x14ac:dyDescent="0.35">
      <c r="A35" s="8" t="str">
        <f>IF(Timeline!$B$5="","",Timeline!$B$5+ROW()-4)</f>
        <v/>
      </c>
      <c r="B35" s="2" t="str">
        <f>IF(A35="","",INT((A35-Timeline!$B$5)/7)+1)</f>
        <v/>
      </c>
      <c r="C35" s="4"/>
      <c r="D35" s="4"/>
      <c r="E35" s="4"/>
      <c r="F35" s="4"/>
      <c r="G35" s="4"/>
      <c r="H35" s="4"/>
    </row>
    <row r="36" spans="1:8" x14ac:dyDescent="0.35">
      <c r="A36" s="8" t="str">
        <f>IF(Timeline!$B$5="","",Timeline!$B$5+ROW()-4)</f>
        <v/>
      </c>
      <c r="B36" s="2" t="str">
        <f>IF(A36="","",INT((A36-Timeline!$B$5)/7)+1)</f>
        <v/>
      </c>
      <c r="C36" s="4"/>
      <c r="D36" s="4"/>
      <c r="E36" s="4"/>
      <c r="F36" s="4"/>
      <c r="G36" s="4"/>
      <c r="H36" s="4"/>
    </row>
    <row r="37" spans="1:8" x14ac:dyDescent="0.35">
      <c r="A37" s="8" t="str">
        <f>IF(Timeline!$B$5="","",Timeline!$B$5+ROW()-4)</f>
        <v/>
      </c>
      <c r="B37" s="2" t="str">
        <f>IF(A37="","",INT((A37-Timeline!$B$5)/7)+1)</f>
        <v/>
      </c>
      <c r="C37" s="4"/>
      <c r="D37" s="4"/>
      <c r="E37" s="4"/>
      <c r="F37" s="4"/>
      <c r="G37" s="4"/>
      <c r="H37" s="4"/>
    </row>
    <row r="38" spans="1:8" x14ac:dyDescent="0.35">
      <c r="A38" s="8" t="str">
        <f>IF(Timeline!$B$5="","",Timeline!$B$5+ROW()-4)</f>
        <v/>
      </c>
      <c r="B38" s="2" t="str">
        <f>IF(A38="","",INT((A38-Timeline!$B$5)/7)+1)</f>
        <v/>
      </c>
      <c r="C38" s="4"/>
      <c r="D38" s="4"/>
      <c r="E38" s="4"/>
      <c r="F38" s="4"/>
      <c r="G38" s="4"/>
      <c r="H38" s="4"/>
    </row>
    <row r="39" spans="1:8" x14ac:dyDescent="0.35">
      <c r="A39" s="8" t="str">
        <f>IF(Timeline!$B$5="","",Timeline!$B$5+ROW()-4)</f>
        <v/>
      </c>
      <c r="B39" s="2" t="str">
        <f>IF(A39="","",INT((A39-Timeline!$B$5)/7)+1)</f>
        <v/>
      </c>
      <c r="C39" s="4"/>
      <c r="D39" s="4"/>
      <c r="E39" s="4"/>
      <c r="F39" s="4"/>
      <c r="G39" s="4"/>
      <c r="H39" s="4"/>
    </row>
    <row r="40" spans="1:8" x14ac:dyDescent="0.35">
      <c r="A40" s="8" t="str">
        <f>IF(Timeline!$B$5="","",Timeline!$B$5+ROW()-4)</f>
        <v/>
      </c>
      <c r="B40" s="2" t="str">
        <f>IF(A40="","",INT((A40-Timeline!$B$5)/7)+1)</f>
        <v/>
      </c>
      <c r="C40" s="4"/>
      <c r="D40" s="4"/>
      <c r="E40" s="4"/>
      <c r="F40" s="4"/>
      <c r="G40" s="4"/>
      <c r="H40" s="4"/>
    </row>
    <row r="41" spans="1:8" x14ac:dyDescent="0.35">
      <c r="A41" s="8" t="str">
        <f>IF(Timeline!$B$5="","",Timeline!$B$5+ROW()-4)</f>
        <v/>
      </c>
      <c r="B41" s="2" t="str">
        <f>IF(A41="","",INT((A41-Timeline!$B$5)/7)+1)</f>
        <v/>
      </c>
      <c r="C41" s="4"/>
      <c r="D41" s="4"/>
      <c r="E41" s="4"/>
      <c r="F41" s="4"/>
      <c r="G41" s="4"/>
      <c r="H41" s="4"/>
    </row>
    <row r="42" spans="1:8" x14ac:dyDescent="0.35">
      <c r="A42" s="8" t="str">
        <f>IF(Timeline!$B$5="","",Timeline!$B$5+ROW()-4)</f>
        <v/>
      </c>
      <c r="B42" s="2" t="str">
        <f>IF(A42="","",INT((A42-Timeline!$B$5)/7)+1)</f>
        <v/>
      </c>
      <c r="C42" s="4"/>
      <c r="D42" s="4"/>
      <c r="E42" s="4"/>
      <c r="F42" s="4"/>
      <c r="G42" s="4"/>
      <c r="H42" s="4"/>
    </row>
    <row r="43" spans="1:8" x14ac:dyDescent="0.35">
      <c r="A43" s="8" t="str">
        <f>IF(Timeline!$B$5="","",Timeline!$B$5+ROW()-4)</f>
        <v/>
      </c>
      <c r="B43" s="2" t="str">
        <f>IF(A43="","",INT((A43-Timeline!$B$5)/7)+1)</f>
        <v/>
      </c>
      <c r="C43" s="4"/>
      <c r="D43" s="4"/>
      <c r="E43" s="4"/>
      <c r="F43" s="4"/>
      <c r="G43" s="4"/>
      <c r="H43" s="4"/>
    </row>
    <row r="44" spans="1:8" x14ac:dyDescent="0.35">
      <c r="A44" s="8" t="str">
        <f>IF(Timeline!$B$5="","",Timeline!$B$5+ROW()-4)</f>
        <v/>
      </c>
      <c r="B44" s="2" t="str">
        <f>IF(A44="","",INT((A44-Timeline!$B$5)/7)+1)</f>
        <v/>
      </c>
      <c r="C44" s="4"/>
      <c r="D44" s="4"/>
      <c r="E44" s="4"/>
      <c r="F44" s="4"/>
      <c r="G44" s="4"/>
      <c r="H44" s="4"/>
    </row>
    <row r="45" spans="1:8" x14ac:dyDescent="0.35">
      <c r="A45" s="8" t="str">
        <f>IF(Timeline!$B$5="","",Timeline!$B$5+ROW()-4)</f>
        <v/>
      </c>
      <c r="B45" s="2" t="str">
        <f>IF(A45="","",INT((A45-Timeline!$B$5)/7)+1)</f>
        <v/>
      </c>
      <c r="C45" s="4"/>
      <c r="D45" s="4"/>
      <c r="E45" s="4"/>
      <c r="F45" s="4"/>
      <c r="G45" s="4"/>
      <c r="H45" s="4"/>
    </row>
    <row r="46" spans="1:8" x14ac:dyDescent="0.35">
      <c r="A46" s="8" t="str">
        <f>IF(Timeline!$B$5="","",Timeline!$B$5+ROW()-4)</f>
        <v/>
      </c>
      <c r="B46" s="2" t="str">
        <f>IF(A46="","",INT((A46-Timeline!$B$5)/7)+1)</f>
        <v/>
      </c>
      <c r="C46" s="4"/>
      <c r="D46" s="4"/>
      <c r="E46" s="4"/>
      <c r="F46" s="4"/>
      <c r="G46" s="4"/>
      <c r="H46" s="4"/>
    </row>
    <row r="47" spans="1:8" x14ac:dyDescent="0.35">
      <c r="A47" s="8" t="str">
        <f>IF(Timeline!$B$5="","",Timeline!$B$5+ROW()-4)</f>
        <v/>
      </c>
      <c r="B47" s="2" t="str">
        <f>IF(A47="","",INT((A47-Timeline!$B$5)/7)+1)</f>
        <v/>
      </c>
      <c r="C47" s="4"/>
      <c r="D47" s="4"/>
      <c r="E47" s="4"/>
      <c r="F47" s="4"/>
      <c r="G47" s="4"/>
      <c r="H47" s="4"/>
    </row>
    <row r="48" spans="1:8" x14ac:dyDescent="0.35">
      <c r="A48" s="8" t="str">
        <f>IF(Timeline!$B$5="","",Timeline!$B$5+ROW()-4)</f>
        <v/>
      </c>
      <c r="B48" s="2" t="str">
        <f>IF(A48="","",INT((A48-Timeline!$B$5)/7)+1)</f>
        <v/>
      </c>
      <c r="C48" s="4"/>
      <c r="D48" s="4"/>
      <c r="E48" s="4"/>
      <c r="F48" s="4"/>
      <c r="G48" s="4"/>
      <c r="H48" s="4"/>
    </row>
    <row r="49" spans="1:8" x14ac:dyDescent="0.35">
      <c r="A49" s="8" t="str">
        <f>IF(Timeline!$B$5="","",Timeline!$B$5+ROW()-4)</f>
        <v/>
      </c>
      <c r="B49" s="2" t="str">
        <f>IF(A49="","",INT((A49-Timeline!$B$5)/7)+1)</f>
        <v/>
      </c>
      <c r="C49" s="4"/>
      <c r="D49" s="4"/>
      <c r="E49" s="4"/>
      <c r="F49" s="4"/>
      <c r="G49" s="4"/>
      <c r="H49" s="4"/>
    </row>
    <row r="50" spans="1:8" x14ac:dyDescent="0.35">
      <c r="A50" s="8" t="str">
        <f>IF(Timeline!$B$5="","",Timeline!$B$5+ROW()-4)</f>
        <v/>
      </c>
      <c r="B50" s="2" t="str">
        <f>IF(A50="","",INT((A50-Timeline!$B$5)/7)+1)</f>
        <v/>
      </c>
      <c r="C50" s="4"/>
      <c r="D50" s="4"/>
      <c r="E50" s="4"/>
      <c r="F50" s="4"/>
      <c r="G50" s="4"/>
      <c r="H50" s="4"/>
    </row>
    <row r="51" spans="1:8" x14ac:dyDescent="0.35">
      <c r="A51" s="8" t="str">
        <f>IF(Timeline!$B$5="","",Timeline!$B$5+ROW()-4)</f>
        <v/>
      </c>
      <c r="B51" s="2" t="str">
        <f>IF(A51="","",INT((A51-Timeline!$B$5)/7)+1)</f>
        <v/>
      </c>
      <c r="C51" s="4"/>
      <c r="D51" s="4"/>
      <c r="E51" s="4"/>
      <c r="F51" s="4"/>
      <c r="G51" s="4"/>
      <c r="H51" s="4"/>
    </row>
    <row r="52" spans="1:8" x14ac:dyDescent="0.35">
      <c r="A52" s="8" t="str">
        <f>IF(Timeline!$B$5="","",Timeline!$B$5+ROW()-4)</f>
        <v/>
      </c>
      <c r="B52" s="2" t="str">
        <f>IF(A52="","",INT((A52-Timeline!$B$5)/7)+1)</f>
        <v/>
      </c>
      <c r="C52" s="4"/>
      <c r="D52" s="4"/>
      <c r="E52" s="4"/>
      <c r="F52" s="4"/>
      <c r="G52" s="4"/>
      <c r="H52" s="4"/>
    </row>
    <row r="53" spans="1:8" x14ac:dyDescent="0.35">
      <c r="A53" s="8" t="str">
        <f>IF(Timeline!$B$5="","",Timeline!$B$5+ROW()-4)</f>
        <v/>
      </c>
      <c r="B53" s="2" t="str">
        <f>IF(A53="","",INT((A53-Timeline!$B$5)/7)+1)</f>
        <v/>
      </c>
      <c r="C53" s="4"/>
      <c r="D53" s="4"/>
      <c r="E53" s="4"/>
      <c r="F53" s="4"/>
      <c r="G53" s="4"/>
      <c r="H53" s="4"/>
    </row>
    <row r="54" spans="1:8" x14ac:dyDescent="0.35">
      <c r="A54" s="8" t="str">
        <f>IF(Timeline!$B$5="","",Timeline!$B$5+ROW()-4)</f>
        <v/>
      </c>
      <c r="B54" s="2" t="str">
        <f>IF(A54="","",INT((A54-Timeline!$B$5)/7)+1)</f>
        <v/>
      </c>
      <c r="C54" s="4"/>
      <c r="D54" s="4"/>
      <c r="E54" s="4"/>
      <c r="F54" s="4"/>
      <c r="G54" s="4"/>
      <c r="H54" s="4"/>
    </row>
    <row r="55" spans="1:8" x14ac:dyDescent="0.35">
      <c r="A55" s="8" t="str">
        <f>IF(Timeline!$B$5="","",Timeline!$B$5+ROW()-4)</f>
        <v/>
      </c>
      <c r="B55" s="2" t="str">
        <f>IF(A55="","",INT((A55-Timeline!$B$5)/7)+1)</f>
        <v/>
      </c>
      <c r="C55" s="4"/>
      <c r="D55" s="4"/>
      <c r="E55" s="4"/>
      <c r="F55" s="4"/>
      <c r="G55" s="4"/>
      <c r="H55" s="4"/>
    </row>
    <row r="56" spans="1:8" x14ac:dyDescent="0.35">
      <c r="A56" s="8" t="str">
        <f>IF(Timeline!$B$5="","",Timeline!$B$5+ROW()-4)</f>
        <v/>
      </c>
      <c r="B56" s="2" t="str">
        <f>IF(A56="","",INT((A56-Timeline!$B$5)/7)+1)</f>
        <v/>
      </c>
      <c r="C56" s="4"/>
      <c r="D56" s="4"/>
      <c r="E56" s="4"/>
      <c r="F56" s="4"/>
      <c r="G56" s="4"/>
      <c r="H56" s="4"/>
    </row>
    <row r="57" spans="1:8" x14ac:dyDescent="0.35">
      <c r="A57" s="8" t="str">
        <f>IF(Timeline!$B$5="","",Timeline!$B$5+ROW()-4)</f>
        <v/>
      </c>
      <c r="B57" s="2" t="str">
        <f>IF(A57="","",INT((A57-Timeline!$B$5)/7)+1)</f>
        <v/>
      </c>
      <c r="C57" s="4"/>
      <c r="D57" s="4"/>
      <c r="E57" s="4"/>
      <c r="F57" s="4"/>
      <c r="G57" s="4"/>
      <c r="H57" s="4"/>
    </row>
    <row r="58" spans="1:8" x14ac:dyDescent="0.35">
      <c r="A58" s="8" t="str">
        <f>IF(Timeline!$B$5="","",Timeline!$B$5+ROW()-4)</f>
        <v/>
      </c>
      <c r="B58" s="2" t="str">
        <f>IF(A58="","",INT((A58-Timeline!$B$5)/7)+1)</f>
        <v/>
      </c>
      <c r="C58" s="4"/>
      <c r="D58" s="4"/>
      <c r="E58" s="4"/>
      <c r="F58" s="4"/>
      <c r="G58" s="4"/>
      <c r="H58" s="4"/>
    </row>
    <row r="59" spans="1:8" x14ac:dyDescent="0.35">
      <c r="A59" s="8" t="str">
        <f>IF(Timeline!$B$5="","",Timeline!$B$5+ROW()-4)</f>
        <v/>
      </c>
      <c r="B59" s="2" t="str">
        <f>IF(A59="","",INT((A59-Timeline!$B$5)/7)+1)</f>
        <v/>
      </c>
      <c r="C59" s="4"/>
      <c r="D59" s="4"/>
      <c r="E59" s="4"/>
      <c r="F59" s="4"/>
      <c r="G59" s="4"/>
      <c r="H59" s="4"/>
    </row>
    <row r="60" spans="1:8" x14ac:dyDescent="0.35">
      <c r="A60" s="8" t="str">
        <f>IF(Timeline!$B$5="","",Timeline!$B$5+ROW()-4)</f>
        <v/>
      </c>
      <c r="B60" s="2" t="str">
        <f>IF(A60="","",INT((A60-Timeline!$B$5)/7)+1)</f>
        <v/>
      </c>
      <c r="C60" s="4"/>
      <c r="D60" s="4"/>
      <c r="E60" s="4"/>
      <c r="F60" s="4"/>
      <c r="G60" s="4"/>
      <c r="H60" s="4"/>
    </row>
    <row r="61" spans="1:8" x14ac:dyDescent="0.35">
      <c r="A61" s="8" t="str">
        <f>IF(Timeline!$B$5="","",Timeline!$B$5+ROW()-4)</f>
        <v/>
      </c>
      <c r="B61" s="2" t="str">
        <f>IF(A61="","",INT((A61-Timeline!$B$5)/7)+1)</f>
        <v/>
      </c>
      <c r="C61" s="4"/>
      <c r="D61" s="4"/>
      <c r="E61" s="4"/>
      <c r="F61" s="4"/>
      <c r="G61" s="4"/>
      <c r="H61" s="4"/>
    </row>
    <row r="62" spans="1:8" x14ac:dyDescent="0.35">
      <c r="A62" s="8" t="str">
        <f>IF(Timeline!$B$5="","",Timeline!$B$5+ROW()-4)</f>
        <v/>
      </c>
      <c r="B62" s="2" t="str">
        <f>IF(A62="","",INT((A62-Timeline!$B$5)/7)+1)</f>
        <v/>
      </c>
      <c r="C62" s="4"/>
      <c r="D62" s="4"/>
      <c r="E62" s="4"/>
      <c r="F62" s="4"/>
      <c r="G62" s="4"/>
      <c r="H62" s="4"/>
    </row>
    <row r="63" spans="1:8" x14ac:dyDescent="0.35">
      <c r="A63" s="8" t="str">
        <f>IF(Timeline!$B$5="","",Timeline!$B$5+ROW()-4)</f>
        <v/>
      </c>
      <c r="B63" s="2" t="str">
        <f>IF(A63="","",INT((A63-Timeline!$B$5)/7)+1)</f>
        <v/>
      </c>
      <c r="C63" s="4"/>
      <c r="D63" s="4"/>
      <c r="E63" s="4"/>
      <c r="F63" s="4"/>
      <c r="G63" s="4"/>
      <c r="H63" s="4"/>
    </row>
    <row r="64" spans="1:8" x14ac:dyDescent="0.35">
      <c r="A64" s="8" t="str">
        <f>IF(Timeline!$B$5="","",Timeline!$B$5+ROW()-4)</f>
        <v/>
      </c>
      <c r="B64" s="2" t="str">
        <f>IF(A64="","",INT((A64-Timeline!$B$5)/7)+1)</f>
        <v/>
      </c>
      <c r="C64" s="4"/>
      <c r="D64" s="4"/>
      <c r="E64" s="4"/>
      <c r="F64" s="4"/>
      <c r="G64" s="4"/>
      <c r="H64" s="4"/>
    </row>
    <row r="65" spans="1:8" x14ac:dyDescent="0.35">
      <c r="A65" s="8" t="str">
        <f>IF(Timeline!$B$5="","",Timeline!$B$5+ROW()-4)</f>
        <v/>
      </c>
      <c r="B65" s="2" t="str">
        <f>IF(A65="","",INT((A65-Timeline!$B$5)/7)+1)</f>
        <v/>
      </c>
      <c r="C65" s="4"/>
      <c r="D65" s="4"/>
      <c r="E65" s="4"/>
      <c r="F65" s="4"/>
      <c r="G65" s="4"/>
      <c r="H65" s="4"/>
    </row>
    <row r="66" spans="1:8" x14ac:dyDescent="0.35">
      <c r="A66" s="8" t="str">
        <f>IF(Timeline!$B$5="","",Timeline!$B$5+ROW()-4)</f>
        <v/>
      </c>
      <c r="B66" s="2" t="str">
        <f>IF(A66="","",INT((A66-Timeline!$B$5)/7)+1)</f>
        <v/>
      </c>
      <c r="C66" s="4"/>
      <c r="D66" s="4"/>
      <c r="E66" s="4"/>
      <c r="F66" s="4"/>
      <c r="G66" s="4"/>
      <c r="H66" s="4"/>
    </row>
    <row r="67" spans="1:8" x14ac:dyDescent="0.35">
      <c r="A67" s="8" t="str">
        <f>IF(Timeline!$B$5="","",Timeline!$B$5+ROW()-4)</f>
        <v/>
      </c>
      <c r="B67" s="2" t="str">
        <f>IF(A67="","",INT((A67-Timeline!$B$5)/7)+1)</f>
        <v/>
      </c>
      <c r="C67" s="4"/>
      <c r="D67" s="4"/>
      <c r="E67" s="4"/>
      <c r="F67" s="4"/>
      <c r="G67" s="4"/>
      <c r="H67" s="4"/>
    </row>
    <row r="68" spans="1:8" x14ac:dyDescent="0.35">
      <c r="A68" s="8" t="str">
        <f>IF(Timeline!$B$5="","",Timeline!$B$5+ROW()-4)</f>
        <v/>
      </c>
      <c r="B68" s="2" t="str">
        <f>IF(A68="","",INT((A68-Timeline!$B$5)/7)+1)</f>
        <v/>
      </c>
      <c r="C68" s="4"/>
      <c r="D68" s="4"/>
      <c r="E68" s="4"/>
      <c r="F68" s="4"/>
      <c r="G68" s="4"/>
      <c r="H68" s="4"/>
    </row>
    <row r="69" spans="1:8" x14ac:dyDescent="0.35">
      <c r="A69" s="8" t="str">
        <f>IF(Timeline!$B$5="","",Timeline!$B$5+ROW()-4)</f>
        <v/>
      </c>
      <c r="B69" s="2" t="str">
        <f>IF(A69="","",INT((A69-Timeline!$B$5)/7)+1)</f>
        <v/>
      </c>
      <c r="C69" s="4"/>
      <c r="D69" s="4"/>
      <c r="E69" s="4"/>
      <c r="F69" s="4"/>
      <c r="G69" s="4"/>
      <c r="H69" s="4"/>
    </row>
    <row r="70" spans="1:8" x14ac:dyDescent="0.35">
      <c r="A70" s="8" t="str">
        <f>IF(Timeline!$B$5="","",Timeline!$B$5+ROW()-4)</f>
        <v/>
      </c>
      <c r="B70" s="2" t="str">
        <f>IF(A70="","",INT((A70-Timeline!$B$5)/7)+1)</f>
        <v/>
      </c>
      <c r="C70" s="4"/>
      <c r="D70" s="4"/>
      <c r="E70" s="4"/>
      <c r="F70" s="4"/>
      <c r="G70" s="4"/>
      <c r="H70" s="4"/>
    </row>
    <row r="71" spans="1:8" x14ac:dyDescent="0.35">
      <c r="A71" s="8" t="str">
        <f>IF(Timeline!$B$5="","",Timeline!$B$5+ROW()-4)</f>
        <v/>
      </c>
      <c r="B71" s="2" t="str">
        <f>IF(A71="","",INT((A71-Timeline!$B$5)/7)+1)</f>
        <v/>
      </c>
      <c r="C71" s="4"/>
      <c r="D71" s="4"/>
      <c r="E71" s="4"/>
      <c r="F71" s="4"/>
      <c r="G71" s="4"/>
      <c r="H71" s="4"/>
    </row>
    <row r="72" spans="1:8" x14ac:dyDescent="0.35">
      <c r="A72" s="8" t="str">
        <f>IF(Timeline!$B$5="","",Timeline!$B$5+ROW()-4)</f>
        <v/>
      </c>
      <c r="B72" s="2" t="str">
        <f>IF(A72="","",INT((A72-Timeline!$B$5)/7)+1)</f>
        <v/>
      </c>
      <c r="C72" s="4"/>
      <c r="D72" s="4"/>
      <c r="E72" s="4"/>
      <c r="F72" s="4"/>
      <c r="G72" s="4"/>
      <c r="H72" s="4"/>
    </row>
    <row r="73" spans="1:8" x14ac:dyDescent="0.35">
      <c r="A73" s="8" t="str">
        <f>IF(Timeline!$B$5="","",Timeline!$B$5+ROW()-4)</f>
        <v/>
      </c>
      <c r="B73" s="2" t="str">
        <f>IF(A73="","",INT((A73-Timeline!$B$5)/7)+1)</f>
        <v/>
      </c>
      <c r="C73" s="4"/>
      <c r="D73" s="4"/>
      <c r="E73" s="4"/>
      <c r="F73" s="4"/>
      <c r="G73" s="4"/>
      <c r="H73" s="4"/>
    </row>
    <row r="74" spans="1:8" x14ac:dyDescent="0.35">
      <c r="A74" s="8" t="str">
        <f>IF(Timeline!$B$5="","",Timeline!$B$5+ROW()-4)</f>
        <v/>
      </c>
      <c r="B74" s="2" t="str">
        <f>IF(A74="","",INT((A74-Timeline!$B$5)/7)+1)</f>
        <v/>
      </c>
      <c r="C74" s="4"/>
      <c r="D74" s="4"/>
      <c r="E74" s="4"/>
      <c r="F74" s="4"/>
      <c r="G74" s="4"/>
      <c r="H74" s="4"/>
    </row>
    <row r="75" spans="1:8" x14ac:dyDescent="0.35">
      <c r="A75" s="8" t="str">
        <f>IF(Timeline!$B$5="","",Timeline!$B$5+ROW()-4)</f>
        <v/>
      </c>
      <c r="B75" s="2" t="str">
        <f>IF(A75="","",INT((A75-Timeline!$B$5)/7)+1)</f>
        <v/>
      </c>
      <c r="C75" s="4"/>
      <c r="D75" s="4"/>
      <c r="E75" s="4"/>
      <c r="F75" s="4"/>
      <c r="G75" s="4"/>
      <c r="H75" s="4"/>
    </row>
    <row r="76" spans="1:8" x14ac:dyDescent="0.35">
      <c r="A76" s="8" t="str">
        <f>IF(Timeline!$B$5="","",Timeline!$B$5+ROW()-4)</f>
        <v/>
      </c>
      <c r="B76" s="2" t="str">
        <f>IF(A76="","",INT((A76-Timeline!$B$5)/7)+1)</f>
        <v/>
      </c>
      <c r="C76" s="4"/>
      <c r="D76" s="4"/>
      <c r="E76" s="4"/>
      <c r="F76" s="4"/>
      <c r="G76" s="4"/>
      <c r="H76" s="4"/>
    </row>
    <row r="77" spans="1:8" x14ac:dyDescent="0.35">
      <c r="A77" s="8" t="str">
        <f>IF(Timeline!$B$5="","",Timeline!$B$5+ROW()-4)</f>
        <v/>
      </c>
      <c r="B77" s="2" t="str">
        <f>IF(A77="","",INT((A77-Timeline!$B$5)/7)+1)</f>
        <v/>
      </c>
      <c r="C77" s="4"/>
      <c r="D77" s="4"/>
      <c r="E77" s="4"/>
      <c r="F77" s="4"/>
      <c r="G77" s="4"/>
      <c r="H77" s="4"/>
    </row>
    <row r="78" spans="1:8" x14ac:dyDescent="0.35">
      <c r="A78" s="8" t="str">
        <f>IF(Timeline!$B$5="","",Timeline!$B$5+ROW()-4)</f>
        <v/>
      </c>
      <c r="B78" s="2" t="str">
        <f>IF(A78="","",INT((A78-Timeline!$B$5)/7)+1)</f>
        <v/>
      </c>
      <c r="C78" s="4"/>
      <c r="D78" s="4"/>
      <c r="E78" s="4"/>
      <c r="F78" s="4"/>
      <c r="G78" s="4"/>
      <c r="H78" s="4"/>
    </row>
    <row r="79" spans="1:8" x14ac:dyDescent="0.35">
      <c r="A79" s="8" t="str">
        <f>IF(Timeline!$B$5="","",Timeline!$B$5+ROW()-4)</f>
        <v/>
      </c>
      <c r="B79" s="2" t="str">
        <f>IF(A79="","",INT((A79-Timeline!$B$5)/7)+1)</f>
        <v/>
      </c>
      <c r="C79" s="4"/>
      <c r="D79" s="4"/>
      <c r="E79" s="4"/>
      <c r="F79" s="4"/>
      <c r="G79" s="4"/>
      <c r="H79" s="4"/>
    </row>
    <row r="80" spans="1:8" x14ac:dyDescent="0.35">
      <c r="A80" s="8" t="str">
        <f>IF(Timeline!$B$5="","",Timeline!$B$5+ROW()-4)</f>
        <v/>
      </c>
      <c r="B80" s="2" t="str">
        <f>IF(A80="","",INT((A80-Timeline!$B$5)/7)+1)</f>
        <v/>
      </c>
      <c r="C80" s="4"/>
      <c r="D80" s="4"/>
      <c r="E80" s="4"/>
      <c r="F80" s="4"/>
      <c r="G80" s="4"/>
      <c r="H80" s="4"/>
    </row>
    <row r="81" spans="1:8" x14ac:dyDescent="0.35">
      <c r="A81" s="8" t="str">
        <f>IF(Timeline!$B$5="","",Timeline!$B$5+ROW()-4)</f>
        <v/>
      </c>
      <c r="B81" s="2" t="str">
        <f>IF(A81="","",INT((A81-Timeline!$B$5)/7)+1)</f>
        <v/>
      </c>
      <c r="C81" s="4"/>
      <c r="D81" s="4"/>
      <c r="E81" s="4"/>
      <c r="F81" s="4"/>
      <c r="G81" s="4"/>
      <c r="H81" s="4"/>
    </row>
    <row r="82" spans="1:8" x14ac:dyDescent="0.35">
      <c r="A82" s="8" t="str">
        <f>IF(Timeline!$B$5="","",Timeline!$B$5+ROW()-4)</f>
        <v/>
      </c>
      <c r="B82" s="2" t="str">
        <f>IF(A82="","",INT((A82-Timeline!$B$5)/7)+1)</f>
        <v/>
      </c>
      <c r="C82" s="4"/>
      <c r="D82" s="4"/>
      <c r="E82" s="4"/>
      <c r="F82" s="4"/>
      <c r="G82" s="4"/>
      <c r="H82" s="4"/>
    </row>
    <row r="83" spans="1:8" x14ac:dyDescent="0.35">
      <c r="A83" s="8" t="str">
        <f>IF(Timeline!$B$5="","",Timeline!$B$5+ROW()-4)</f>
        <v/>
      </c>
      <c r="B83" s="2" t="str">
        <f>IF(A83="","",INT((A83-Timeline!$B$5)/7)+1)</f>
        <v/>
      </c>
      <c r="C83" s="4"/>
      <c r="D83" s="4"/>
      <c r="E83" s="4"/>
      <c r="F83" s="4"/>
      <c r="G83" s="4"/>
      <c r="H83" s="4"/>
    </row>
    <row r="84" spans="1:8" x14ac:dyDescent="0.35">
      <c r="A84" s="8" t="str">
        <f>IF(Timeline!$B$5="","",Timeline!$B$5+ROW()-4)</f>
        <v/>
      </c>
      <c r="B84" s="2" t="str">
        <f>IF(A84="","",INT((A84-Timeline!$B$5)/7)+1)</f>
        <v/>
      </c>
      <c r="C84" s="4"/>
      <c r="D84" s="4"/>
      <c r="E84" s="4"/>
      <c r="F84" s="4"/>
      <c r="G84" s="4"/>
      <c r="H84" s="4"/>
    </row>
    <row r="85" spans="1:8" x14ac:dyDescent="0.35">
      <c r="A85" s="8" t="str">
        <f>IF(Timeline!$B$5="","",Timeline!$B$5+ROW()-4)</f>
        <v/>
      </c>
      <c r="B85" s="2" t="str">
        <f>IF(A85="","",INT((A85-Timeline!$B$5)/7)+1)</f>
        <v/>
      </c>
      <c r="C85" s="4"/>
      <c r="D85" s="4"/>
      <c r="E85" s="4"/>
      <c r="F85" s="4"/>
      <c r="G85" s="4"/>
      <c r="H85" s="4"/>
    </row>
    <row r="86" spans="1:8" x14ac:dyDescent="0.35">
      <c r="A86" s="8" t="str">
        <f>IF(Timeline!$B$5="","",Timeline!$B$5+ROW()-4)</f>
        <v/>
      </c>
      <c r="B86" s="2" t="str">
        <f>IF(A86="","",INT((A86-Timeline!$B$5)/7)+1)</f>
        <v/>
      </c>
      <c r="C86" s="4"/>
      <c r="D86" s="4"/>
      <c r="E86" s="4"/>
      <c r="F86" s="4"/>
      <c r="G86" s="4"/>
      <c r="H86" s="4"/>
    </row>
    <row r="87" spans="1:8" x14ac:dyDescent="0.35">
      <c r="A87" s="8" t="str">
        <f>IF(Timeline!$B$5="","",Timeline!$B$5+ROW()-4)</f>
        <v/>
      </c>
      <c r="B87" s="2" t="str">
        <f>IF(A87="","",INT((A87-Timeline!$B$5)/7)+1)</f>
        <v/>
      </c>
      <c r="C87" s="4"/>
      <c r="D87" s="4"/>
      <c r="E87" s="4"/>
      <c r="F87" s="4"/>
      <c r="G87" s="4"/>
      <c r="H87" s="4"/>
    </row>
    <row r="88" spans="1:8" x14ac:dyDescent="0.35">
      <c r="A88" s="8" t="str">
        <f>IF(Timeline!$B$5="","",Timeline!$B$5+ROW()-4)</f>
        <v/>
      </c>
      <c r="B88" s="2" t="str">
        <f>IF(A88="","",INT((A88-Timeline!$B$5)/7)+1)</f>
        <v/>
      </c>
      <c r="C88" s="4"/>
      <c r="D88" s="4"/>
      <c r="E88" s="4"/>
      <c r="F88" s="4"/>
      <c r="G88" s="4"/>
      <c r="H88" s="4"/>
    </row>
    <row r="89" spans="1:8" x14ac:dyDescent="0.35">
      <c r="A89" s="8" t="str">
        <f>IF(Timeline!$B$5="","",Timeline!$B$5+ROW()-4)</f>
        <v/>
      </c>
      <c r="B89" s="2" t="str">
        <f>IF(A89="","",INT((A89-Timeline!$B$5)/7)+1)</f>
        <v/>
      </c>
      <c r="C89" s="4"/>
      <c r="D89" s="4"/>
      <c r="E89" s="4"/>
      <c r="F89" s="4"/>
      <c r="G89" s="4"/>
      <c r="H89" s="4"/>
    </row>
    <row r="90" spans="1:8" x14ac:dyDescent="0.35">
      <c r="A90" s="8" t="str">
        <f>IF(Timeline!$B$5="","",Timeline!$B$5+ROW()-4)</f>
        <v/>
      </c>
      <c r="B90" s="2" t="str">
        <f>IF(A90="","",INT((A90-Timeline!$B$5)/7)+1)</f>
        <v/>
      </c>
      <c r="C90" s="4"/>
      <c r="D90" s="4"/>
      <c r="E90" s="4"/>
      <c r="F90" s="4"/>
      <c r="G90" s="4"/>
      <c r="H90" s="4"/>
    </row>
    <row r="91" spans="1:8" x14ac:dyDescent="0.35">
      <c r="A91" s="8" t="str">
        <f>IF(Timeline!$B$5="","",Timeline!$B$5+ROW()-4)</f>
        <v/>
      </c>
      <c r="B91" s="2" t="str">
        <f>IF(A91="","",INT((A91-Timeline!$B$5)/7)+1)</f>
        <v/>
      </c>
      <c r="C91" s="4"/>
      <c r="D91" s="4"/>
      <c r="E91" s="4"/>
      <c r="F91" s="4"/>
      <c r="G91" s="4"/>
      <c r="H91" s="4"/>
    </row>
    <row r="92" spans="1:8" x14ac:dyDescent="0.35">
      <c r="A92" s="8" t="str">
        <f>IF(Timeline!$B$5="","",Timeline!$B$5+ROW()-4)</f>
        <v/>
      </c>
      <c r="B92" s="2" t="str">
        <f>IF(A92="","",INT((A92-Timeline!$B$5)/7)+1)</f>
        <v/>
      </c>
      <c r="C92" s="4"/>
      <c r="D92" s="4"/>
      <c r="E92" s="4"/>
      <c r="F92" s="4"/>
      <c r="G92" s="4"/>
      <c r="H92" s="4"/>
    </row>
    <row r="93" spans="1:8" x14ac:dyDescent="0.35">
      <c r="A93" s="8" t="str">
        <f>IF(Timeline!$B$5="","",Timeline!$B$5+ROW()-4)</f>
        <v/>
      </c>
      <c r="B93" s="2" t="str">
        <f>IF(A93="","",INT((A93-Timeline!$B$5)/7)+1)</f>
        <v/>
      </c>
      <c r="C93" s="4"/>
      <c r="D93" s="4"/>
      <c r="E93" s="4"/>
      <c r="F93" s="4"/>
      <c r="G93" s="4"/>
      <c r="H93" s="4"/>
    </row>
    <row r="94" spans="1:8" x14ac:dyDescent="0.35">
      <c r="A94" s="8" t="str">
        <f>IF(Timeline!$B$5="","",Timeline!$B$5+ROW()-4)</f>
        <v/>
      </c>
      <c r="B94" s="2" t="str">
        <f>IF(A94="","",INT((A94-Timeline!$B$5)/7)+1)</f>
        <v/>
      </c>
      <c r="C94" s="4"/>
      <c r="D94" s="4"/>
      <c r="E94" s="4"/>
      <c r="F94" s="4"/>
      <c r="G94" s="4"/>
      <c r="H94" s="4"/>
    </row>
    <row r="95" spans="1:8" x14ac:dyDescent="0.35">
      <c r="A95" s="8" t="str">
        <f>IF(Timeline!$B$5="","",Timeline!$B$5+ROW()-4)</f>
        <v/>
      </c>
      <c r="B95" s="2" t="str">
        <f>IF(A95="","",INT((A95-Timeline!$B$5)/7)+1)</f>
        <v/>
      </c>
      <c r="C95" s="4"/>
      <c r="D95" s="4"/>
      <c r="E95" s="4"/>
      <c r="F95" s="4"/>
      <c r="G95" s="4"/>
      <c r="H95" s="4"/>
    </row>
    <row r="96" spans="1:8" x14ac:dyDescent="0.35">
      <c r="A96" s="8" t="str">
        <f>IF(Timeline!$B$5="","",Timeline!$B$5+ROW()-4)</f>
        <v/>
      </c>
      <c r="B96" s="2" t="str">
        <f>IF(A96="","",INT((A96-Timeline!$B$5)/7)+1)</f>
        <v/>
      </c>
      <c r="C96" s="4"/>
      <c r="D96" s="4"/>
      <c r="E96" s="4"/>
      <c r="F96" s="4"/>
      <c r="G96" s="4"/>
      <c r="H96" s="4"/>
    </row>
    <row r="97" spans="1:8" x14ac:dyDescent="0.35">
      <c r="A97" s="8" t="str">
        <f>IF(Timeline!$B$5="","",Timeline!$B$5+ROW()-4)</f>
        <v/>
      </c>
      <c r="B97" s="2" t="str">
        <f>IF(A97="","",INT((A97-Timeline!$B$5)/7)+1)</f>
        <v/>
      </c>
      <c r="C97" s="4"/>
      <c r="D97" s="4"/>
      <c r="E97" s="4"/>
      <c r="F97" s="4"/>
      <c r="G97" s="4"/>
      <c r="H97" s="4"/>
    </row>
    <row r="98" spans="1:8" x14ac:dyDescent="0.35">
      <c r="A98" s="8" t="str">
        <f>IF(Timeline!$B$5="","",Timeline!$B$5+ROW()-4)</f>
        <v/>
      </c>
      <c r="B98" s="2" t="str">
        <f>IF(A98="","",INT((A98-Timeline!$B$5)/7)+1)</f>
        <v/>
      </c>
      <c r="C98" s="4"/>
      <c r="D98" s="4"/>
      <c r="E98" s="4"/>
      <c r="F98" s="4"/>
      <c r="G98" s="4"/>
      <c r="H98" s="4"/>
    </row>
    <row r="99" spans="1:8" x14ac:dyDescent="0.35">
      <c r="A99" s="8" t="str">
        <f>IF(Timeline!$B$5="","",Timeline!$B$5+ROW()-4)</f>
        <v/>
      </c>
      <c r="B99" s="2" t="str">
        <f>IF(A99="","",INT((A99-Timeline!$B$5)/7)+1)</f>
        <v/>
      </c>
      <c r="C99" s="4"/>
      <c r="D99" s="4"/>
      <c r="E99" s="4"/>
      <c r="F99" s="4"/>
      <c r="G99" s="4"/>
      <c r="H99" s="4"/>
    </row>
    <row r="100" spans="1:8" x14ac:dyDescent="0.35">
      <c r="A100" s="8" t="str">
        <f>IF(Timeline!$B$5="","",Timeline!$B$5+ROW()-4)</f>
        <v/>
      </c>
      <c r="B100" s="2" t="str">
        <f>IF(A100="","",INT((A100-Timeline!$B$5)/7)+1)</f>
        <v/>
      </c>
      <c r="C100" s="4"/>
      <c r="D100" s="4"/>
      <c r="E100" s="4"/>
      <c r="F100" s="4"/>
      <c r="G100" s="4"/>
      <c r="H100" s="4"/>
    </row>
    <row r="101" spans="1:8" x14ac:dyDescent="0.35">
      <c r="A101" s="8" t="str">
        <f>IF(Timeline!$B$5="","",Timeline!$B$5+ROW()-4)</f>
        <v/>
      </c>
      <c r="B101" s="2" t="str">
        <f>IF(A101="","",INT((A101-Timeline!$B$5)/7)+1)</f>
        <v/>
      </c>
      <c r="C101" s="4"/>
      <c r="D101" s="4"/>
      <c r="E101" s="4"/>
      <c r="F101" s="4"/>
      <c r="G101" s="4"/>
      <c r="H101" s="4"/>
    </row>
    <row r="102" spans="1:8" x14ac:dyDescent="0.35">
      <c r="A102" s="8" t="str">
        <f>IF(Timeline!$B$5="","",Timeline!$B$5+ROW()-4)</f>
        <v/>
      </c>
      <c r="B102" s="2" t="str">
        <f>IF(A102="","",INT((A102-Timeline!$B$5)/7)+1)</f>
        <v/>
      </c>
      <c r="C102" s="4"/>
      <c r="D102" s="4"/>
      <c r="E102" s="4"/>
      <c r="F102" s="4"/>
      <c r="G102" s="4"/>
      <c r="H102" s="4"/>
    </row>
    <row r="103" spans="1:8" x14ac:dyDescent="0.35">
      <c r="A103" s="8" t="str">
        <f>IF(Timeline!$B$5="","",Timeline!$B$5+ROW()-4)</f>
        <v/>
      </c>
      <c r="B103" s="2" t="str">
        <f>IF(A103="","",INT((A103-Timeline!$B$5)/7)+1)</f>
        <v/>
      </c>
      <c r="C103" s="4"/>
      <c r="D103" s="4"/>
      <c r="E103" s="4"/>
      <c r="F103" s="4"/>
      <c r="G103" s="4"/>
      <c r="H103" s="4"/>
    </row>
    <row r="104" spans="1:8" x14ac:dyDescent="0.35">
      <c r="A104" s="2"/>
      <c r="B104" s="2"/>
      <c r="C104" s="2"/>
      <c r="D104" s="2"/>
      <c r="E104" s="2"/>
      <c r="F104" s="2"/>
      <c r="G104" s="2"/>
      <c r="H104" s="2"/>
    </row>
    <row r="105" spans="1:8" x14ac:dyDescent="0.35">
      <c r="A105" s="2"/>
      <c r="B105" s="2"/>
      <c r="C105" s="2"/>
      <c r="D105" s="2"/>
      <c r="E105" s="2"/>
      <c r="F105" s="2"/>
      <c r="G105" s="2"/>
      <c r="H105" s="2"/>
    </row>
    <row r="106" spans="1:8" x14ac:dyDescent="0.35">
      <c r="A106" s="3" t="s">
        <v>25</v>
      </c>
      <c r="B106" s="2"/>
      <c r="C106" s="2"/>
      <c r="D106" s="2"/>
      <c r="E106" s="2"/>
      <c r="F106" s="2"/>
      <c r="G106" s="2"/>
      <c r="H106" s="2"/>
    </row>
    <row r="107" spans="1:8" ht="42" x14ac:dyDescent="0.35">
      <c r="A107" s="3" t="s">
        <v>26</v>
      </c>
      <c r="B107" s="2">
        <f>COUNTIF(E4:E103,"Yes")+COUNTIF(E4:E103,"Partial")</f>
        <v>0</v>
      </c>
      <c r="C107" s="2"/>
      <c r="D107" s="2"/>
      <c r="E107" s="2"/>
      <c r="F107" s="2"/>
      <c r="G107" s="2"/>
      <c r="H107" s="2"/>
    </row>
    <row r="108" spans="1:8" ht="28" x14ac:dyDescent="0.35">
      <c r="A108" s="3" t="s">
        <v>27</v>
      </c>
      <c r="B108" s="2">
        <f>SUM(F4:F103)</f>
        <v>0</v>
      </c>
      <c r="C108" s="2"/>
      <c r="D108" s="2"/>
      <c r="E108" s="2"/>
      <c r="F108" s="2"/>
      <c r="G108" s="2"/>
      <c r="H108" s="2"/>
    </row>
    <row r="109" spans="1:8" ht="28" x14ac:dyDescent="0.35">
      <c r="A109" s="3" t="s">
        <v>28</v>
      </c>
      <c r="B109" s="9">
        <f>IF(COUNTA(A4:A103)=0,"",(COUNTIF(E4:E103,"Yes")+(COUNTIF(E4:E103,"Partial")*0.5))/COUNTA(A4:A103))</f>
        <v>0</v>
      </c>
      <c r="C109" s="2"/>
      <c r="D109" s="2"/>
      <c r="E109" s="2"/>
      <c r="F109" s="2"/>
      <c r="G109" s="2"/>
      <c r="H109" s="2"/>
    </row>
  </sheetData>
  <dataValidations count="2">
    <dataValidation type="list" allowBlank="1" sqref="D4:D103" xr:uid="{00000000-0002-0000-0200-000000000000}">
      <formula1>"Yes,No"</formula1>
    </dataValidation>
    <dataValidation type="list" allowBlank="1" sqref="E4:E103" xr:uid="{00000000-0002-0000-0200-000001000000}">
      <formula1>"Yes,No,Partial"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6" customWidth="1"/>
    <col min="2" max="2" width="28" customWidth="1"/>
    <col min="3" max="4" width="42" customWidth="1"/>
    <col min="5" max="5" width="34" customWidth="1"/>
    <col min="6" max="6" width="16" customWidth="1"/>
  </cols>
  <sheetData>
    <row r="1" spans="1:6" ht="54" x14ac:dyDescent="0.35">
      <c r="A1" s="1" t="s">
        <v>29</v>
      </c>
      <c r="B1" s="2"/>
      <c r="C1" s="2"/>
      <c r="D1" s="2"/>
      <c r="E1" s="2"/>
      <c r="F1" s="2"/>
    </row>
    <row r="2" spans="1:6" x14ac:dyDescent="0.35">
      <c r="A2" s="2"/>
      <c r="B2" s="2"/>
      <c r="C2" s="2"/>
      <c r="D2" s="2"/>
      <c r="E2" s="2"/>
      <c r="F2" s="2"/>
    </row>
    <row r="3" spans="1:6" x14ac:dyDescent="0.35">
      <c r="A3" s="7" t="s">
        <v>30</v>
      </c>
      <c r="B3" s="7" t="s">
        <v>31</v>
      </c>
      <c r="C3" s="7" t="s">
        <v>32</v>
      </c>
      <c r="D3" s="7" t="s">
        <v>33</v>
      </c>
      <c r="E3" s="7" t="s">
        <v>34</v>
      </c>
      <c r="F3" s="7" t="s">
        <v>35</v>
      </c>
    </row>
    <row r="4" spans="1:6" x14ac:dyDescent="0.35">
      <c r="A4" s="5"/>
      <c r="B4" s="4"/>
      <c r="C4" s="4"/>
      <c r="D4" s="4"/>
      <c r="E4" s="4"/>
      <c r="F4" s="4"/>
    </row>
    <row r="5" spans="1:6" x14ac:dyDescent="0.35">
      <c r="A5" s="5"/>
      <c r="B5" s="4"/>
      <c r="C5" s="4"/>
      <c r="D5" s="4"/>
      <c r="E5" s="4"/>
      <c r="F5" s="4"/>
    </row>
    <row r="6" spans="1:6" x14ac:dyDescent="0.35">
      <c r="A6" s="5"/>
      <c r="B6" s="4"/>
      <c r="C6" s="4"/>
      <c r="D6" s="4"/>
      <c r="E6" s="4"/>
      <c r="F6" s="4"/>
    </row>
    <row r="7" spans="1:6" x14ac:dyDescent="0.35">
      <c r="A7" s="5"/>
      <c r="B7" s="4"/>
      <c r="C7" s="4"/>
      <c r="D7" s="4"/>
      <c r="E7" s="4"/>
      <c r="F7" s="4"/>
    </row>
    <row r="8" spans="1:6" x14ac:dyDescent="0.35">
      <c r="A8" s="5"/>
      <c r="B8" s="4"/>
      <c r="C8" s="4"/>
      <c r="D8" s="4"/>
      <c r="E8" s="4"/>
      <c r="F8" s="4"/>
    </row>
    <row r="9" spans="1:6" x14ac:dyDescent="0.35">
      <c r="A9" s="5"/>
      <c r="B9" s="4"/>
      <c r="C9" s="4"/>
      <c r="D9" s="4"/>
      <c r="E9" s="4"/>
      <c r="F9" s="4"/>
    </row>
    <row r="10" spans="1:6" x14ac:dyDescent="0.35">
      <c r="A10" s="5"/>
      <c r="B10" s="4"/>
      <c r="C10" s="4"/>
      <c r="D10" s="4"/>
      <c r="E10" s="4"/>
      <c r="F10" s="4"/>
    </row>
    <row r="11" spans="1:6" x14ac:dyDescent="0.35">
      <c r="A11" s="5"/>
      <c r="B11" s="4"/>
      <c r="C11" s="4"/>
      <c r="D11" s="4"/>
      <c r="E11" s="4"/>
      <c r="F11" s="4"/>
    </row>
    <row r="12" spans="1:6" x14ac:dyDescent="0.35">
      <c r="A12" s="5"/>
      <c r="B12" s="4"/>
      <c r="C12" s="4"/>
      <c r="D12" s="4"/>
      <c r="E12" s="4"/>
      <c r="F12" s="4"/>
    </row>
    <row r="13" spans="1:6" x14ac:dyDescent="0.35">
      <c r="A13" s="5"/>
      <c r="B13" s="4"/>
      <c r="C13" s="4"/>
      <c r="D13" s="4"/>
      <c r="E13" s="4"/>
      <c r="F13" s="4"/>
    </row>
  </sheetData>
  <dataValidations count="1">
    <dataValidation type="list" allowBlank="1" sqref="F4:F13" xr:uid="{00000000-0002-0000-0300-000000000000}">
      <formula1>"Not Started,In Progress,Done"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2" customWidth="1"/>
    <col min="2" max="2" width="18" customWidth="1"/>
    <col min="3" max="3" width="16" customWidth="1"/>
    <col min="4" max="4" width="18" customWidth="1"/>
    <col min="5" max="5" width="50" customWidth="1"/>
  </cols>
  <sheetData>
    <row r="1" spans="1:5" ht="18" x14ac:dyDescent="0.35">
      <c r="A1" s="1" t="s">
        <v>36</v>
      </c>
      <c r="B1" s="2"/>
      <c r="C1" s="2"/>
      <c r="D1" s="2"/>
      <c r="E1" s="2"/>
    </row>
    <row r="2" spans="1:5" x14ac:dyDescent="0.35">
      <c r="A2" s="2"/>
      <c r="B2" s="2"/>
      <c r="C2" s="2"/>
      <c r="D2" s="2"/>
      <c r="E2" s="2"/>
    </row>
    <row r="3" spans="1:5" x14ac:dyDescent="0.35">
      <c r="A3" s="3" t="s">
        <v>37</v>
      </c>
      <c r="B3" s="4"/>
      <c r="C3" s="2"/>
      <c r="D3" s="2"/>
      <c r="E3" s="2"/>
    </row>
    <row r="4" spans="1:5" x14ac:dyDescent="0.35">
      <c r="A4" s="3" t="s">
        <v>38</v>
      </c>
      <c r="B4" s="4"/>
      <c r="C4" s="2"/>
      <c r="D4" s="2"/>
      <c r="E4" s="2"/>
    </row>
    <row r="5" spans="1:5" x14ac:dyDescent="0.35">
      <c r="A5" s="3" t="s">
        <v>39</v>
      </c>
      <c r="B5" s="4"/>
      <c r="C5" s="2"/>
      <c r="D5" s="2"/>
      <c r="E5" s="2"/>
    </row>
    <row r="6" spans="1:5" x14ac:dyDescent="0.35">
      <c r="A6" s="3" t="s">
        <v>40</v>
      </c>
      <c r="B6" s="4"/>
      <c r="C6" s="2"/>
      <c r="D6" s="2"/>
      <c r="E6" s="2"/>
    </row>
    <row r="7" spans="1:5" x14ac:dyDescent="0.35">
      <c r="A7" s="3" t="s">
        <v>41</v>
      </c>
      <c r="B7" s="4"/>
      <c r="C7" s="2"/>
      <c r="D7" s="2"/>
      <c r="E7" s="2"/>
    </row>
    <row r="8" spans="1:5" x14ac:dyDescent="0.35">
      <c r="A8" s="3" t="s">
        <v>42</v>
      </c>
      <c r="B8" s="4"/>
      <c r="C8" s="2"/>
      <c r="D8" s="2"/>
      <c r="E8" s="2"/>
    </row>
    <row r="9" spans="1:5" x14ac:dyDescent="0.35">
      <c r="A9" s="3" t="s">
        <v>43</v>
      </c>
      <c r="B9" s="4"/>
      <c r="C9" s="2"/>
      <c r="D9" s="2"/>
      <c r="E9" s="2"/>
    </row>
    <row r="10" spans="1:5" x14ac:dyDescent="0.35">
      <c r="A10" s="2"/>
      <c r="B10" s="2"/>
      <c r="C10" s="2"/>
      <c r="D10" s="2"/>
      <c r="E10" s="2"/>
    </row>
    <row r="11" spans="1:5" x14ac:dyDescent="0.35">
      <c r="A11" s="2"/>
      <c r="B11" s="2"/>
      <c r="C11" s="2"/>
      <c r="D11" s="2"/>
      <c r="E11" s="2"/>
    </row>
    <row r="12" spans="1:5" x14ac:dyDescent="0.35">
      <c r="A12" s="7" t="s">
        <v>44</v>
      </c>
      <c r="B12" s="7" t="s">
        <v>45</v>
      </c>
      <c r="C12" s="7" t="s">
        <v>46</v>
      </c>
      <c r="D12" s="7" t="s">
        <v>35</v>
      </c>
      <c r="E12" s="7" t="s">
        <v>47</v>
      </c>
    </row>
    <row r="13" spans="1:5" x14ac:dyDescent="0.35">
      <c r="A13" s="4"/>
      <c r="B13" s="4"/>
      <c r="C13" s="5"/>
      <c r="D13" s="4"/>
      <c r="E13" s="4"/>
    </row>
    <row r="14" spans="1:5" x14ac:dyDescent="0.35">
      <c r="A14" s="4"/>
      <c r="B14" s="4"/>
      <c r="C14" s="5"/>
      <c r="D14" s="4"/>
      <c r="E14" s="4"/>
    </row>
    <row r="15" spans="1:5" x14ac:dyDescent="0.35">
      <c r="A15" s="4"/>
      <c r="B15" s="4"/>
      <c r="C15" s="5"/>
      <c r="D15" s="4"/>
      <c r="E15" s="4"/>
    </row>
    <row r="16" spans="1:5" x14ac:dyDescent="0.35">
      <c r="A16" s="4"/>
      <c r="B16" s="4"/>
      <c r="C16" s="5"/>
      <c r="D16" s="4"/>
      <c r="E16" s="4"/>
    </row>
    <row r="17" spans="1:5" x14ac:dyDescent="0.35">
      <c r="A17" s="4"/>
      <c r="B17" s="4"/>
      <c r="C17" s="5"/>
      <c r="D17" s="4"/>
      <c r="E17" s="4"/>
    </row>
    <row r="18" spans="1:5" x14ac:dyDescent="0.35">
      <c r="A18" s="4"/>
      <c r="B18" s="4"/>
      <c r="C18" s="5"/>
      <c r="D18" s="4"/>
      <c r="E18" s="4"/>
    </row>
    <row r="19" spans="1:5" x14ac:dyDescent="0.35">
      <c r="A19" s="4"/>
      <c r="B19" s="4"/>
      <c r="C19" s="5"/>
      <c r="D19" s="4"/>
      <c r="E19" s="4"/>
    </row>
    <row r="20" spans="1:5" x14ac:dyDescent="0.35">
      <c r="A20" s="4"/>
      <c r="B20" s="4"/>
      <c r="C20" s="5"/>
      <c r="D20" s="4"/>
      <c r="E20" s="4"/>
    </row>
    <row r="21" spans="1:5" x14ac:dyDescent="0.35">
      <c r="A21" s="4"/>
      <c r="B21" s="4"/>
      <c r="C21" s="5"/>
      <c r="D21" s="4"/>
      <c r="E21" s="4"/>
    </row>
    <row r="22" spans="1:5" x14ac:dyDescent="0.35">
      <c r="A22" s="4"/>
      <c r="B22" s="4"/>
      <c r="C22" s="5"/>
      <c r="D22" s="4"/>
      <c r="E22" s="4"/>
    </row>
    <row r="23" spans="1:5" x14ac:dyDescent="0.35">
      <c r="A23" s="4"/>
      <c r="B23" s="4"/>
      <c r="C23" s="5"/>
      <c r="D23" s="4"/>
      <c r="E23" s="4"/>
    </row>
    <row r="24" spans="1:5" x14ac:dyDescent="0.35">
      <c r="A24" s="4"/>
      <c r="B24" s="4"/>
      <c r="C24" s="5"/>
      <c r="D24" s="4"/>
      <c r="E24" s="4"/>
    </row>
    <row r="25" spans="1:5" x14ac:dyDescent="0.35">
      <c r="A25" s="4"/>
      <c r="B25" s="4"/>
      <c r="C25" s="5"/>
      <c r="D25" s="4"/>
      <c r="E25" s="4"/>
    </row>
    <row r="26" spans="1:5" x14ac:dyDescent="0.35">
      <c r="A26" s="4"/>
      <c r="B26" s="4"/>
      <c r="C26" s="5"/>
      <c r="D26" s="4"/>
      <c r="E26" s="4"/>
    </row>
    <row r="27" spans="1:5" x14ac:dyDescent="0.35">
      <c r="A27" s="4"/>
      <c r="B27" s="4"/>
      <c r="C27" s="5"/>
      <c r="D27" s="4"/>
      <c r="E27" s="4"/>
    </row>
    <row r="28" spans="1:5" x14ac:dyDescent="0.35">
      <c r="A28" s="2"/>
      <c r="B28" s="2"/>
      <c r="C28" s="2"/>
      <c r="D28" s="2"/>
      <c r="E28" s="2"/>
    </row>
    <row r="29" spans="1:5" x14ac:dyDescent="0.35">
      <c r="A29" s="3" t="s">
        <v>48</v>
      </c>
      <c r="B29" s="2">
        <f>COUNTIF(D13:D27,"Done")</f>
        <v>0</v>
      </c>
      <c r="C29" s="2"/>
      <c r="D29" s="2"/>
      <c r="E29" s="2"/>
    </row>
    <row r="30" spans="1:5" x14ac:dyDescent="0.35">
      <c r="A30" s="3" t="s">
        <v>49</v>
      </c>
      <c r="B30" s="2">
        <f>COUNTA(A13:A27)-B29</f>
        <v>0</v>
      </c>
      <c r="C30" s="2"/>
      <c r="D30" s="2"/>
      <c r="E30" s="2"/>
    </row>
  </sheetData>
  <dataValidations count="1">
    <dataValidation type="list" allowBlank="1" sqref="D13:D27" xr:uid="{00000000-0002-0000-0400-000000000000}">
      <formula1>"Not Started,In Progress,Done,Blocked"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4" customWidth="1"/>
    <col min="2" max="3" width="60" customWidth="1"/>
  </cols>
  <sheetData>
    <row r="1" spans="1:3" ht="18" x14ac:dyDescent="0.35">
      <c r="A1" s="1" t="s">
        <v>50</v>
      </c>
      <c r="B1" s="2"/>
      <c r="C1" s="2"/>
    </row>
    <row r="2" spans="1:3" x14ac:dyDescent="0.35">
      <c r="A2" s="2"/>
      <c r="B2" s="2"/>
      <c r="C2" s="2"/>
    </row>
    <row r="3" spans="1:3" x14ac:dyDescent="0.35">
      <c r="A3" s="7" t="s">
        <v>51</v>
      </c>
      <c r="B3" s="7" t="s">
        <v>52</v>
      </c>
      <c r="C3" s="7" t="s">
        <v>53</v>
      </c>
    </row>
    <row r="4" spans="1:3" ht="60" customHeight="1" x14ac:dyDescent="0.35">
      <c r="A4" s="2" t="s">
        <v>54</v>
      </c>
      <c r="B4" s="4"/>
      <c r="C4" s="4"/>
    </row>
    <row r="5" spans="1:3" ht="60" customHeight="1" x14ac:dyDescent="0.35">
      <c r="A5" s="2" t="s">
        <v>55</v>
      </c>
      <c r="B5" s="4"/>
      <c r="C5" s="4"/>
    </row>
    <row r="6" spans="1:3" ht="60" customHeight="1" x14ac:dyDescent="0.35">
      <c r="A6" s="2" t="s">
        <v>56</v>
      </c>
      <c r="B6" s="4"/>
      <c r="C6" s="4"/>
    </row>
    <row r="7" spans="1:3" ht="60" customHeight="1" x14ac:dyDescent="0.35">
      <c r="A7" s="2" t="s">
        <v>57</v>
      </c>
      <c r="B7" s="4"/>
      <c r="C7" s="4"/>
    </row>
    <row r="8" spans="1:3" ht="60" customHeight="1" x14ac:dyDescent="0.35">
      <c r="A8" s="2" t="s">
        <v>58</v>
      </c>
      <c r="B8" s="4"/>
      <c r="C8" s="4"/>
    </row>
    <row r="9" spans="1:3" ht="60" customHeight="1" x14ac:dyDescent="0.35">
      <c r="A9" s="2" t="s">
        <v>59</v>
      </c>
      <c r="B9" s="4"/>
      <c r="C9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46" customWidth="1"/>
    <col min="2" max="2" width="90" customWidth="1"/>
  </cols>
  <sheetData>
    <row r="1" spans="1:2" ht="18" x14ac:dyDescent="0.35">
      <c r="A1" s="1" t="s">
        <v>60</v>
      </c>
      <c r="B1" s="2"/>
    </row>
    <row r="2" spans="1:2" x14ac:dyDescent="0.35">
      <c r="A2" s="2"/>
      <c r="B2" s="2"/>
    </row>
    <row r="3" spans="1:2" x14ac:dyDescent="0.35">
      <c r="A3" s="7" t="s">
        <v>61</v>
      </c>
      <c r="B3" s="7" t="s">
        <v>52</v>
      </c>
    </row>
    <row r="4" spans="1:2" ht="60" customHeight="1" x14ac:dyDescent="0.35">
      <c r="A4" s="2" t="s">
        <v>62</v>
      </c>
      <c r="B4" s="4"/>
    </row>
    <row r="5" spans="1:2" ht="60" customHeight="1" x14ac:dyDescent="0.35">
      <c r="A5" s="2" t="s">
        <v>63</v>
      </c>
      <c r="B5" s="4"/>
    </row>
    <row r="6" spans="1:2" ht="60" customHeight="1" x14ac:dyDescent="0.35">
      <c r="A6" s="2" t="s">
        <v>64</v>
      </c>
      <c r="B6" s="4"/>
    </row>
    <row r="7" spans="1:2" ht="60" customHeight="1" x14ac:dyDescent="0.35">
      <c r="A7" s="2" t="s">
        <v>65</v>
      </c>
      <c r="B7" s="4"/>
    </row>
    <row r="8" spans="1:2" ht="60" customHeight="1" x14ac:dyDescent="0.35">
      <c r="A8" s="2" t="s">
        <v>66</v>
      </c>
      <c r="B8" s="4"/>
    </row>
    <row r="9" spans="1:2" ht="60" customHeight="1" x14ac:dyDescent="0.35">
      <c r="A9" s="2" t="s">
        <v>67</v>
      </c>
      <c r="B9" s="4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Timeline</vt:lpstr>
      <vt:lpstr>Home Responsibility Tracker</vt:lpstr>
      <vt:lpstr>Family Meeting Log</vt:lpstr>
      <vt:lpstr>Project Planner</vt:lpstr>
      <vt:lpstr>Discussion Prep</vt:lpstr>
      <vt:lpstr>Final Reflection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Roberts</cp:lastModifiedBy>
  <dcterms:created xsi:type="dcterms:W3CDTF">2026-06-08T01:21:45Z</dcterms:created>
  <dcterms:modified xsi:type="dcterms:W3CDTF">2026-06-08T01:22:18Z</dcterms:modified>
</cp:coreProperties>
</file>